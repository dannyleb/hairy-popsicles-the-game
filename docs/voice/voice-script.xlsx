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How to use" sheetId="1" state="visible" r:id="rId3"/>
    <sheet name="Characters" sheetId="2" state="visible" r:id="rId4"/>
    <sheet name="Script" sheetId="3" state="visible" r:id="rId5"/>
    <sheet name="Shared reactions" sheetId="4" state="visible" r:id="rId6"/>
  </sheets>
  <definedNames>
    <definedName function="false" hidden="true" localSheetId="2" name="_xlnm._FilterDatabase" vbProcedure="false">Script!$A$1:$H$90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<sst xmlns="http://schemas.openxmlformats.org/spreadsheetml/2006/main" count="788" uniqueCount="410">
  <si>
    <t xml:space="preserve">Hairy Popsicles: voice recording script</t>
  </si>
  <si>
    <t xml:space="preserve">Every line a character can say in the game, pulled from the code. The player (Antenna) never speaks.</t>
  </si>
  <si>
    <t xml:space="preserve">TABS</t>
  </si>
  <si>
    <t xml:space="preserve">Characters: one row per character, with where they are, what they want, a read on their personality and a voice idea, plus your progress.</t>
  </si>
  <si>
    <t xml:space="preserve">Script: every unique line, grouped by character, in the order you'd hit them in play. One row = one audio file.</t>
  </si>
  <si>
    <t xml:space="preserve">Shared reactions: generic grunts and watering reactions that anyone without a special line says.</t>
  </si>
  <si>
    <t xml:space="preserve">WHAT YOU EDIT (yellow cells)</t>
  </si>
  <si>
    <t xml:space="preserve">Status: pick To do / Recorded / Redo from the dropdown. Characters tab counts your progress from this.</t>
  </si>
  <si>
    <t xml:space="preserve">Notes: anything (take number, what you changed, mic placement).</t>
  </si>
  <si>
    <t xml:space="preserve">Everything else is generated from the game. Voice ideas are only suggestions; your call.</t>
  </si>
  <si>
    <t xml:space="preserve">RECORDING</t>
  </si>
  <si>
    <t xml:space="preserve">One file per line, named exactly as the File column (e.g. toad_01.wav). That's what lets me wire them in without guessing.</t>
  </si>
  <si>
    <t xml:space="preserve">WAV, mono, 48 kHz, 24-bit. Leave ~0.2 s of room tone at each end; I'll trim and compress for the web.</t>
  </si>
  <si>
    <t xml:space="preserve">Peaks around -3 dBFS. Keep the levels similar across characters so nobody's twice as loud.</t>
  </si>
  <si>
    <t xml:space="preserve">Say the words in the Line column. If you ad-lib something better, put the new words in Notes and I'll update the speech bubble to match.</t>
  </si>
  <si>
    <t xml:space="preserve">Lines in *asterisks* are noises, not words (*snore*, *BUUUURP*, *deep sniff*). Perform the noise.</t>
  </si>
  <si>
    <t xml:space="preserve">SHARED REACTIONS: decide one thing</t>
  </si>
  <si>
    <t xml:space="preserve">Option A (fast): record the 12 shared reactions once in a neutral voice. Everyone uses the same set.</t>
  </si>
  <si>
    <t xml:space="preserve">Option B (better): record them in each character's voice (12 x 20 = 240 short takes). Tell me and I'll split that tab per character.</t>
  </si>
  <si>
    <t xml:space="preserve">Not included: the two lines nobody can trigger right now ("...warm." for mouse droppings, and a fallback "thanks.").</t>
  </si>
  <si>
    <t xml:space="preserve">Character</t>
  </si>
  <si>
    <t xml:space="preserve">ID</t>
  </si>
  <si>
    <t xml:space="preserve">Where</t>
  </si>
  <si>
    <t xml:space="preserve">Moves</t>
  </si>
  <si>
    <t xml:space="preserve">Wants (for their card)</t>
  </si>
  <si>
    <t xml:space="preserve">Personality (from their lines)</t>
  </si>
  <si>
    <t xml:space="preserve">Voice idea</t>
  </si>
  <si>
    <t xml:space="preserve">Lines</t>
  </si>
  <si>
    <t xml:space="preserve">Recorded</t>
  </si>
  <si>
    <t xml:space="preserve">Done</t>
  </si>
  <si>
    <t xml:space="preserve">Toad</t>
  </si>
  <si>
    <t xml:space="preserve">toad</t>
  </si>
  <si>
    <t xml:space="preserve">Hub (middle)</t>
  </si>
  <si>
    <t xml:space="preserve">Lumbers around; sleeps when full</t>
  </si>
  <si>
    <t xml:space="preserve">Fill Toad all the way up.</t>
  </si>
  <si>
    <t xml:space="preserve">Bottomless, single-minded appetite. Grunts more than talks.</t>
  </si>
  <si>
    <t xml:space="preserve">Huge, wet, low. Gravelly; burps and gurgles are half the part.</t>
  </si>
  <si>
    <t xml:space="preserve">Pimples</t>
  </si>
  <si>
    <t xml:space="preserve">pimples</t>
  </si>
  <si>
    <t xml:space="preserve">Hub</t>
  </si>
  <si>
    <t xml:space="preserve">Stands</t>
  </si>
  <si>
    <t xml:space="preserve">Get out whatever's been growing in him (slap 3x).</t>
  </si>
  <si>
    <t xml:space="preserve">Embarrassed, itchy, fighting the urge to pick.</t>
  </si>
  <si>
    <t xml:space="preserve">Tight, self-conscious mutter; relief at the end.</t>
  </si>
  <si>
    <t xml:space="preserve">Melter</t>
  </si>
  <si>
    <t xml:space="preserve">melter</t>
  </si>
  <si>
    <t xml:space="preserve">Head on a stick</t>
  </si>
  <si>
    <t xml:space="preserve">Water him 3 times.</t>
  </si>
  <si>
    <t xml:space="preserve">Wistful, falling apart, a little vain.</t>
  </si>
  <si>
    <t xml:space="preserve">Slow and droopy, like the words are sliding off.</t>
  </si>
  <si>
    <t xml:space="preserve">Weeper</t>
  </si>
  <si>
    <t xml:space="preserve">weeper</t>
  </si>
  <si>
    <t xml:space="preserve">Talk to him 3 times.</t>
  </si>
  <si>
    <t xml:space="preserve">Insists he's fine while crying.</t>
  </si>
  <si>
    <t xml:space="preserve">Wobbly, sniffly, defensive.</t>
  </si>
  <si>
    <t xml:space="preserve">Stubble</t>
  </si>
  <si>
    <t xml:space="preserve">stubble</t>
  </si>
  <si>
    <t xml:space="preserve">Bring him 3 hairs.</t>
  </si>
  <si>
    <t xml:space="preserve">Irritable, bristly, self-conscious about pores.</t>
  </si>
  <si>
    <t xml:space="preserve">Gruff, scratchy, short-tempered.</t>
  </si>
  <si>
    <t xml:space="preserve">Screamer</t>
  </si>
  <si>
    <t xml:space="preserve">screamer</t>
  </si>
  <si>
    <t xml:space="preserve">Slap him twice.</t>
  </si>
  <si>
    <t xml:space="preserve">Permanently startled; apologises for it.</t>
  </si>
  <si>
    <t xml:space="preserve">Opens with a scream, then sheepish and polite.</t>
  </si>
  <si>
    <t xml:space="preserve">Shiv</t>
  </si>
  <si>
    <t xml:space="preserve">shiv</t>
  </si>
  <si>
    <t xml:space="preserve">Walks around</t>
  </si>
  <si>
    <t xml:space="preserve">Bring him 2 crumbs.</t>
  </si>
  <si>
    <t xml:space="preserve">Tall, insecure, a fibber.</t>
  </si>
  <si>
    <t xml:space="preserve">Lanky, nasal, a bit shifty.</t>
  </si>
  <si>
    <t xml:space="preserve">Roast</t>
  </si>
  <si>
    <t xml:space="preserve">roast</t>
  </si>
  <si>
    <t xml:space="preserve">West</t>
  </si>
  <si>
    <t xml:space="preserve">Lies there (an item you carry)</t>
  </si>
  <si>
    <t xml:space="preserve">Water him until he's juicy.</t>
  </si>
  <si>
    <t xml:space="preserve">A dry little roast that wants to be eaten.</t>
  </si>
  <si>
    <t xml:space="preserve">Parched croak that gets juicier with each watering.</t>
  </si>
  <si>
    <t xml:space="preserve">Conehead</t>
  </si>
  <si>
    <t xml:space="preserve">conehead</t>
  </si>
  <si>
    <t xml:space="preserve">Pop 5 pimples near him.</t>
  </si>
  <si>
    <t xml:space="preserve">Forced smile, crying underneath.</t>
  </si>
  <si>
    <t xml:space="preserve">Manic cheer that cracks.</t>
  </si>
  <si>
    <t xml:space="preserve">Mirror</t>
  </si>
  <si>
    <t xml:space="preserve">mirror</t>
  </si>
  <si>
    <t xml:space="preserve">Hub (front, right)</t>
  </si>
  <si>
    <t xml:space="preserve">Water him after dark.</t>
  </si>
  <si>
    <t xml:space="preserve">Cryptic shopkeeper; reflects you back.</t>
  </si>
  <si>
    <t xml:space="preserve">Smooth, knowing, slightly unsettling.</t>
  </si>
  <si>
    <t xml:space="preserve">Tendrils</t>
  </si>
  <si>
    <t xml:space="preserve">tendrils</t>
  </si>
  <si>
    <t xml:space="preserve">Bring him 5 hairs.</t>
  </si>
  <si>
    <t xml:space="preserve">Ambivalent about what's growing out of him.</t>
  </si>
  <si>
    <t xml:space="preserve">Breathy, undecided, changes his mind mid-line.</t>
  </si>
  <si>
    <t xml:space="preserve">Red Eye</t>
  </si>
  <si>
    <t xml:space="preserve">redeye</t>
  </si>
  <si>
    <t xml:space="preserve">Night only (appears near you)</t>
  </si>
  <si>
    <t xml:space="preserve">Find him at night.</t>
  </si>
  <si>
    <t xml:space="preserve">Sleepless, twitchy, surprised to be noticed.</t>
  </si>
  <si>
    <t xml:space="preserve">Hoarse, wired, whispery.</t>
  </si>
  <si>
    <t xml:space="preserve">Balloon Man</t>
  </si>
  <si>
    <t xml:space="preserve">balloon</t>
  </si>
  <si>
    <t xml:space="preserve">Bring him a fly.</t>
  </si>
  <si>
    <t xml:space="preserve">Anxious, barely holding it together.</t>
  </si>
  <si>
    <t xml:space="preserve">Thin and strained, like he's holding his breath.</t>
  </si>
  <si>
    <t xml:space="preserve">Little Guy</t>
  </si>
  <si>
    <t xml:space="preserve">littleguy</t>
  </si>
  <si>
    <t xml:space="preserve">Hops</t>
  </si>
  <si>
    <t xml:space="preserve">Talk to him 5 times.</t>
  </si>
  <si>
    <t xml:space="preserve">Tiny, eager, repetitive.</t>
  </si>
  <si>
    <t xml:space="preserve">High and chirpy.</t>
  </si>
  <si>
    <t xml:space="preserve">Big Eye</t>
  </si>
  <si>
    <t xml:space="preserve">bigeye</t>
  </si>
  <si>
    <t xml:space="preserve">East</t>
  </si>
  <si>
    <t xml:space="preserve">Knock his loose eye out (slap 2x).</t>
  </si>
  <si>
    <t xml:space="preserve">Combative, sees too much.</t>
  </si>
  <si>
    <t xml:space="preserve">Loud, confrontational; calm after the eye pops.</t>
  </si>
  <si>
    <t xml:space="preserve">Leprechaun</t>
  </si>
  <si>
    <t xml:space="preserve">leprechaun</t>
  </si>
  <si>
    <t xml:space="preserve">Pay him 30 pus.</t>
  </si>
  <si>
    <t xml:space="preserve">Mercenary, proud of the beard.</t>
  </si>
  <si>
    <t xml:space="preserve">Fast-talking hustler.</t>
  </si>
  <si>
    <t xml:space="preserve">Droopy</t>
  </si>
  <si>
    <t xml:space="preserve">droopy</t>
  </si>
  <si>
    <t xml:space="preserve">Bring him 2 toenail clippings.</t>
  </si>
  <si>
    <t xml:space="preserve">Resigned, sagging, weirdly into toenails.</t>
  </si>
  <si>
    <t xml:space="preserve">Low, slow, tired.</t>
  </si>
  <si>
    <t xml:space="preserve">Bricks</t>
  </si>
  <si>
    <t xml:space="preserve">bricks</t>
  </si>
  <si>
    <t xml:space="preserve">Slap him 3 times.</t>
  </si>
  <si>
    <t xml:space="preserve">Self-made, defensive about a crack.</t>
  </si>
  <si>
    <t xml:space="preserve">Solid, stiff, a little brittle.</t>
  </si>
  <si>
    <t xml:space="preserve">Snoot</t>
  </si>
  <si>
    <t xml:space="preserve">snoot</t>
  </si>
  <si>
    <t xml:space="preserve">Let him smell 2 flies.</t>
  </si>
  <si>
    <t xml:space="preserve">All nose; empathic sniffer.</t>
  </si>
  <si>
    <t xml:space="preserve">Nasal, deep breaths in.</t>
  </si>
  <si>
    <t xml:space="preserve">Fairy</t>
  </si>
  <si>
    <t xml:space="preserve">fairy</t>
  </si>
  <si>
    <t xml:space="preserve">Floats</t>
  </si>
  <si>
    <t xml:space="preserve">Make a wish with her after dark.</t>
  </si>
  <si>
    <t xml:space="preserve">Whimsical but gross; a tiny planet of problems.</t>
  </si>
  <si>
    <t xml:space="preserve">Airy, sing-song, with a dark edge.</t>
  </si>
  <si>
    <t xml:space="preserve">Sweats</t>
  </si>
  <si>
    <t xml:space="preserve">sweats</t>
  </si>
  <si>
    <t xml:space="preserve">Water him 4 times.</t>
  </si>
  <si>
    <t xml:space="preserve">Nervous, overheated, aware you're watching.</t>
  </si>
  <si>
    <t xml:space="preserve">Flustered, quick, breathy.</t>
  </si>
  <si>
    <t xml:space="preserve">Character lines</t>
  </si>
  <si>
    <t xml:space="preserve">Shared reactions</t>
  </si>
  <si>
    <t xml:space="preserve">Total</t>
  </si>
  <si>
    <t xml:space="preserve">File</t>
  </si>
  <si>
    <t xml:space="preserve">#</t>
  </si>
  <si>
    <t xml:space="preserve">Line</t>
  </si>
  <si>
    <t xml:space="preserve">Kind</t>
  </si>
  <si>
    <t xml:space="preserve">When it plays</t>
  </si>
  <si>
    <t xml:space="preserve">Status</t>
  </si>
  <si>
    <t xml:space="preserve">Notes</t>
  </si>
  <si>
    <t xml:space="preserve">toad_01</t>
  </si>
  <si>
    <t xml:space="preserve">HUNGRY.</t>
  </si>
  <si>
    <t xml:space="preserve">Hungry</t>
  </si>
  <si>
    <t xml:space="preserve">Talk to him, or walk near him, while he's hungry (random)</t>
  </si>
  <si>
    <t xml:space="preserve">To do</t>
  </si>
  <si>
    <t xml:space="preserve">toad_02</t>
  </si>
  <si>
    <t xml:space="preserve">feed me.</t>
  </si>
  <si>
    <t xml:space="preserve">toad_03</t>
  </si>
  <si>
    <t xml:space="preserve">FOOOOD.</t>
  </si>
  <si>
    <t xml:space="preserve">Talk to him while he's hungry (random)</t>
  </si>
  <si>
    <t xml:space="preserve">toad_04</t>
  </si>
  <si>
    <t xml:space="preserve">*stomach noise*</t>
  </si>
  <si>
    <t xml:space="preserve">toad_05</t>
  </si>
  <si>
    <t xml:space="preserve">more.</t>
  </si>
  <si>
    <t xml:space="preserve">toad_06</t>
  </si>
  <si>
    <t xml:space="preserve">hhhungry.</t>
  </si>
  <si>
    <t xml:space="preserve">Walk near him while he's hungry (random)</t>
  </si>
  <si>
    <t xml:space="preserve">toad_07</t>
  </si>
  <si>
    <t xml:space="preserve">bring me crumbs.</t>
  </si>
  <si>
    <t xml:space="preserve">toad_08</t>
  </si>
  <si>
    <t xml:space="preserve">FEED ME.</t>
  </si>
  <si>
    <t xml:space="preserve">Slap</t>
  </si>
  <si>
    <t xml:space="preserve">Slap him while he's hungry</t>
  </si>
  <si>
    <t xml:space="preserve">toad_09</t>
  </si>
  <si>
    <t xml:space="preserve">*BUUUURP*</t>
  </si>
  <si>
    <t xml:space="preserve">Eat</t>
  </si>
  <si>
    <t xml:space="preserve">The last bite that fills him up</t>
  </si>
  <si>
    <t xml:space="preserve">toad_10</t>
  </si>
  <si>
    <t xml:space="preserve">*GULP*</t>
  </si>
  <si>
    <t xml:space="preserve">Throw a big item into his mouth (Roast, blob, eyeball)</t>
  </si>
  <si>
    <t xml:space="preserve">toad_11</t>
  </si>
  <si>
    <t xml:space="preserve">...full. let me sleep.</t>
  </si>
  <si>
    <t xml:space="preserve">Full</t>
  </si>
  <si>
    <t xml:space="preserve">Talk to him while he's full (random)</t>
  </si>
  <si>
    <t xml:space="preserve">toad_12</t>
  </si>
  <si>
    <t xml:space="preserve">zzz... no more...</t>
  </si>
  <si>
    <t xml:space="preserve">toad_13</t>
  </si>
  <si>
    <t xml:space="preserve">*snore*</t>
  </si>
  <si>
    <t xml:space="preserve">Talk to him while he's full, or snoring while he digests (random)</t>
  </si>
  <si>
    <t xml:space="preserve">toad_14</t>
  </si>
  <si>
    <t xml:space="preserve">zzz...</t>
  </si>
  <si>
    <t xml:space="preserve">Snoring while he digests, if you're near (random)</t>
  </si>
  <si>
    <t xml:space="preserve">toad_15</t>
  </si>
  <si>
    <t xml:space="preserve">zzzz...</t>
  </si>
  <si>
    <t xml:space="preserve">toad_16</t>
  </si>
  <si>
    <t xml:space="preserve">*gurgle* zzz</t>
  </si>
  <si>
    <t xml:space="preserve">toad_17</t>
  </si>
  <si>
    <t xml:space="preserve">*snort* ...what.</t>
  </si>
  <si>
    <t xml:space="preserve">Slap him while he's full</t>
  </si>
  <si>
    <t xml:space="preserve">toad_18</t>
  </si>
  <si>
    <t xml:space="preserve">*gargle*</t>
  </si>
  <si>
    <t xml:space="preserve">Water</t>
  </si>
  <si>
    <t xml:space="preserve">Water him</t>
  </si>
  <si>
    <t xml:space="preserve">toad_19</t>
  </si>
  <si>
    <t xml:space="preserve">...hungry again.</t>
  </si>
  <si>
    <t xml:space="preserve">Wake</t>
  </si>
  <si>
    <t xml:space="preserve">He's done digesting</t>
  </si>
  <si>
    <t xml:space="preserve">pimples_01</t>
  </si>
  <si>
    <t xml:space="preserve">Don't look at my face.</t>
  </si>
  <si>
    <t xml:space="preserve">Talk</t>
  </si>
  <si>
    <t xml:space="preserve">Talk to him (plays 1, 2, 3, then repeats)</t>
  </si>
  <si>
    <t xml:space="preserve">pimples_02</t>
  </si>
  <si>
    <t xml:space="preserve">Something's been growing in there for weeks.</t>
  </si>
  <si>
    <t xml:space="preserve">pimples_03</t>
  </si>
  <si>
    <t xml:space="preserve">It's ripe. I can feel it.</t>
  </si>
  <si>
    <t xml:space="preserve">pimples_04</t>
  </si>
  <si>
    <t xml:space="preserve">Don't pick. Don't pick. Don't pick.</t>
  </si>
  <si>
    <t xml:space="preserve">Mutter</t>
  </si>
  <si>
    <t xml:space="preserve">You walk past</t>
  </si>
  <si>
    <t xml:space="preserve">pimples_05</t>
  </si>
  <si>
    <t xml:space="preserve">OW.</t>
  </si>
  <si>
    <t xml:space="preserve">1st slap</t>
  </si>
  <si>
    <t xml:space="preserve">pimples_06</t>
  </si>
  <si>
    <t xml:space="preserve">it's... moving...</t>
  </si>
  <si>
    <t xml:space="preserve">2nd slap</t>
  </si>
  <si>
    <t xml:space="preserve">pimples_07</t>
  </si>
  <si>
    <t xml:space="preserve">oh thank god.</t>
  </si>
  <si>
    <t xml:space="preserve">Card</t>
  </si>
  <si>
    <t xml:space="preserve">3rd slap: the blob bursts out</t>
  </si>
  <si>
    <t xml:space="preserve">pimples_08</t>
  </si>
  <si>
    <t xml:space="preserve">I feel lighter. Thanks.</t>
  </si>
  <si>
    <t xml:space="preserve">Talk to him after the blob is out (replaces his usual lines)</t>
  </si>
  <si>
    <t xml:space="preserve">melter_01</t>
  </si>
  <si>
    <t xml:space="preserve">Don't look. I'm having a face day.</t>
  </si>
  <si>
    <t xml:space="preserve">You walk past (random)</t>
  </si>
  <si>
    <t xml:space="preserve">melter_02</t>
  </si>
  <si>
    <t xml:space="preserve">I used to hold my shape.</t>
  </si>
  <si>
    <t xml:space="preserve">melter_03</t>
  </si>
  <si>
    <t xml:space="preserve">Is it hot, or is it just me leaking?</t>
  </si>
  <si>
    <t xml:space="preserve">weeper_01</t>
  </si>
  <si>
    <t xml:space="preserve">I'm not crying. My face is just like this.</t>
  </si>
  <si>
    <t xml:space="preserve">weeper_02</t>
  </si>
  <si>
    <t xml:space="preserve">Everyone can see right through me.</t>
  </si>
  <si>
    <t xml:space="preserve">weeper_03</t>
  </si>
  <si>
    <t xml:space="preserve">Do my tears look normal to you?</t>
  </si>
  <si>
    <t xml:space="preserve">stubble_01</t>
  </si>
  <si>
    <t xml:space="preserve">I shaved this morning. It came back angrier.</t>
  </si>
  <si>
    <t xml:space="preserve">stubble_02</t>
  </si>
  <si>
    <t xml:space="preserve">Stop looking at my pores.</t>
  </si>
  <si>
    <t xml:space="preserve">stubble_03</t>
  </si>
  <si>
    <t xml:space="preserve">mmm. strands.</t>
  </si>
  <si>
    <t xml:space="preserve">Gift</t>
  </si>
  <si>
    <t xml:space="preserve">You hand him a hair</t>
  </si>
  <si>
    <t xml:space="preserve">screamer_01</t>
  </si>
  <si>
    <t xml:space="preserve">AAAH. Sorry. That's just my resting face.</t>
  </si>
  <si>
    <t xml:space="preserve">screamer_02</t>
  </si>
  <si>
    <t xml:space="preserve">I caught my reflection again.</t>
  </si>
  <si>
    <t xml:space="preserve">shiv_01</t>
  </si>
  <si>
    <t xml:space="preserve">Taller doesn't mean better. Trust me.</t>
  </si>
  <si>
    <t xml:space="preserve">shiv_02</t>
  </si>
  <si>
    <t xml:space="preserve">My nose grows when I say I'm fine.</t>
  </si>
  <si>
    <t xml:space="preserve">shiv_03</t>
  </si>
  <si>
    <t xml:space="preserve">crunchy. thank you.</t>
  </si>
  <si>
    <t xml:space="preserve">You hand him a crumb</t>
  </si>
  <si>
    <t xml:space="preserve">roast_01</t>
  </si>
  <si>
    <t xml:space="preserve">ahh.</t>
  </si>
  <si>
    <t xml:space="preserve">1st watering</t>
  </si>
  <si>
    <t xml:space="preserve">roast_02</t>
  </si>
  <si>
    <t xml:space="preserve">more...</t>
  </si>
  <si>
    <t xml:space="preserve">2nd watering</t>
  </si>
  <si>
    <t xml:space="preserve">roast_03</t>
  </si>
  <si>
    <t xml:space="preserve">MORE.</t>
  </si>
  <si>
    <t xml:space="preserve">3rd watering</t>
  </si>
  <si>
    <t xml:space="preserve">roast_04</t>
  </si>
  <si>
    <t xml:space="preserve">I'm ready.</t>
  </si>
  <si>
    <t xml:space="preserve">4th watering: he's juicy</t>
  </si>
  <si>
    <t xml:space="preserve">roast_05</t>
  </si>
  <si>
    <t xml:space="preserve">Too dry. Toad would choke.</t>
  </si>
  <si>
    <t xml:space="preserve">Refuse</t>
  </si>
  <si>
    <t xml:space="preserve">You try to pick him up before he's juicy</t>
  </si>
  <si>
    <t xml:space="preserve">roast_06</t>
  </si>
  <si>
    <t xml:space="preserve">ow.</t>
  </si>
  <si>
    <t xml:space="preserve">Slap him</t>
  </si>
  <si>
    <t xml:space="preserve">conehead_01</t>
  </si>
  <si>
    <t xml:space="preserve">I'm smiling! Can't you tell I'm smiling?</t>
  </si>
  <si>
    <t xml:space="preserve">conehead_02</t>
  </si>
  <si>
    <t xml:space="preserve">Happy tears. Probably.</t>
  </si>
  <si>
    <t xml:space="preserve">mirror_01</t>
  </si>
  <si>
    <t xml:space="preserve">What do you see? Be honest.</t>
  </si>
  <si>
    <t xml:space="preserve">Talk to him (plays 1, 2, 3, 4, then repeats)</t>
  </si>
  <si>
    <t xml:space="preserve">mirror_02</t>
  </si>
  <si>
    <t xml:space="preserve">I keep a little shop in your head. Check the menu.</t>
  </si>
  <si>
    <t xml:space="preserve">mirror_03</t>
  </si>
  <si>
    <t xml:space="preserve">Bring me pus and I'll make you better. Menu. Shop.</t>
  </si>
  <si>
    <t xml:space="preserve">mirror_04</t>
  </si>
  <si>
    <t xml:space="preserve">You look... the same. For now.</t>
  </si>
  <si>
    <t xml:space="preserve">mirror_05</t>
  </si>
  <si>
    <t xml:space="preserve">Look at me. No, really look.</t>
  </si>
  <si>
    <t xml:space="preserve">mirror_06</t>
  </si>
  <si>
    <t xml:space="preserve">I only show what you bring.</t>
  </si>
  <si>
    <t xml:space="preserve">tendrils_01</t>
  </si>
  <si>
    <t xml:space="preserve">Something keeps growing out of me.</t>
  </si>
  <si>
    <t xml:space="preserve">tendrils_02</t>
  </si>
  <si>
    <t xml:space="preserve">Pluck it. No, don't.</t>
  </si>
  <si>
    <t xml:space="preserve">tendrils_03</t>
  </si>
  <si>
    <t xml:space="preserve">redeye_01</t>
  </si>
  <si>
    <t xml:space="preserve">...you can see me?</t>
  </si>
  <si>
    <t xml:space="preserve">The first time you find him at night</t>
  </si>
  <si>
    <t xml:space="preserve">redeye_02</t>
  </si>
  <si>
    <t xml:space="preserve">Haven't slept since I was drawn.</t>
  </si>
  <si>
    <t xml:space="preserve">redeye_03</t>
  </si>
  <si>
    <t xml:space="preserve">My eyes do that on their own.</t>
  </si>
  <si>
    <t xml:space="preserve">balloon_01</t>
  </si>
  <si>
    <t xml:space="preserve">I'm holding it together. Barely.</t>
  </si>
  <si>
    <t xml:space="preserve">balloon_02</t>
  </si>
  <si>
    <t xml:space="preserve">Don't pop it. Please don't pop it.</t>
  </si>
  <si>
    <t xml:space="preserve">balloon_03</t>
  </si>
  <si>
    <t xml:space="preserve">*deep sniff*</t>
  </si>
  <si>
    <t xml:space="preserve">You hand him a fly</t>
  </si>
  <si>
    <t xml:space="preserve">littleguy_01</t>
  </si>
  <si>
    <t xml:space="preserve">Am I small or is everything else big?</t>
  </si>
  <si>
    <t xml:space="preserve">littleguy_02</t>
  </si>
  <si>
    <t xml:space="preserve">Hi. Hi. Hi.</t>
  </si>
  <si>
    <t xml:space="preserve">bigeye_01</t>
  </si>
  <si>
    <t xml:space="preserve">What are YOU looking at?</t>
  </si>
  <si>
    <t xml:space="preserve">Talk to him (plays 1, 2, then repeats)</t>
  </si>
  <si>
    <t xml:space="preserve">bigeye_02</t>
  </si>
  <si>
    <t xml:space="preserve">This eye's been loose since Tuesday.</t>
  </si>
  <si>
    <t xml:space="preserve">bigeye_03</t>
  </si>
  <si>
    <t xml:space="preserve">I see everything. Too much.</t>
  </si>
  <si>
    <t xml:space="preserve">bigeye_04</t>
  </si>
  <si>
    <t xml:space="preserve">Do that again. I dare you.</t>
  </si>
  <si>
    <t xml:space="preserve">bigeye_05</t>
  </si>
  <si>
    <t xml:space="preserve">...worth it.</t>
  </si>
  <si>
    <t xml:space="preserve">2nd slap: the eye pops out</t>
  </si>
  <si>
    <t xml:space="preserve">bigeye_06</t>
  </si>
  <si>
    <t xml:space="preserve">I can see half as much and I'm happier.</t>
  </si>
  <si>
    <t xml:space="preserve">Talk to him after the eye is out (replaces his usual lines)</t>
  </si>
  <si>
    <t xml:space="preserve">leprechaun_01</t>
  </si>
  <si>
    <t xml:space="preserve">Pot of gold? I've got a pot of pus.</t>
  </si>
  <si>
    <t xml:space="preserve">leprechaun_02</t>
  </si>
  <si>
    <t xml:space="preserve">The beard's the best part of me.</t>
  </si>
  <si>
    <t xml:space="preserve">leprechaun_03</t>
  </si>
  <si>
    <t xml:space="preserve">30 pus. I'm not a charity.</t>
  </si>
  <si>
    <t xml:space="preserve">Talk to him with less than 30 pus</t>
  </si>
  <si>
    <t xml:space="preserve">leprechaun_04</t>
  </si>
  <si>
    <t xml:space="preserve">Pleasure doing business.</t>
  </si>
  <si>
    <t xml:space="preserve">Talk to him with 30+ pus (he takes it)</t>
  </si>
  <si>
    <t xml:space="preserve">droopy_01</t>
  </si>
  <si>
    <t xml:space="preserve">Everything sags eventually.</t>
  </si>
  <si>
    <t xml:space="preserve">droopy_02</t>
  </si>
  <si>
    <t xml:space="preserve">I'm not tired. I'm just... like this.</t>
  </si>
  <si>
    <t xml:space="preserve">droopy_03</t>
  </si>
  <si>
    <t xml:space="preserve">ooh. a big one.</t>
  </si>
  <si>
    <t xml:space="preserve">You hand him a toenail clipping</t>
  </si>
  <si>
    <t xml:space="preserve">bricks_01</t>
  </si>
  <si>
    <t xml:space="preserve">I built myself up one block at a time.</t>
  </si>
  <si>
    <t xml:space="preserve">bricks_02</t>
  </si>
  <si>
    <t xml:space="preserve">There's a crack. Don't mention the crack.</t>
  </si>
  <si>
    <t xml:space="preserve">snoot_01</t>
  </si>
  <si>
    <t xml:space="preserve">I can smell how you feel.</t>
  </si>
  <si>
    <t xml:space="preserve">snoot_02</t>
  </si>
  <si>
    <t xml:space="preserve">It's not a nose, it's a personality.</t>
  </si>
  <si>
    <t xml:space="preserve">snoot_03</t>
  </si>
  <si>
    <t xml:space="preserve">fairy_01</t>
  </si>
  <si>
    <t xml:space="preserve">Make a wish. Make it gross.</t>
  </si>
  <si>
    <t xml:space="preserve">fairy_02</t>
  </si>
  <si>
    <t xml:space="preserve">My planet's smaller than my problems.</t>
  </si>
  <si>
    <t xml:space="preserve">fairy_03</t>
  </si>
  <si>
    <t xml:space="preserve">...thank you.</t>
  </si>
  <si>
    <t xml:space="preserve">Talk to her after dark</t>
  </si>
  <si>
    <t xml:space="preserve">sweats_01</t>
  </si>
  <si>
    <t xml:space="preserve">Is it warm in here, or is it me?</t>
  </si>
  <si>
    <t xml:space="preserve">sweats_02</t>
  </si>
  <si>
    <t xml:space="preserve">I sweat when people look at me. Like now.</t>
  </si>
  <si>
    <t xml:space="preserve">Who says it</t>
  </si>
  <si>
    <t xml:space="preserve">shared_01</t>
  </si>
  <si>
    <t xml:space="preserve">hhhnnngh.</t>
  </si>
  <si>
    <t xml:space="preserve">Talk or slap</t>
  </si>
  <si>
    <t xml:space="preserve">Talk: Everyone except Pimples, Mirror and Big Eye (they have their own talk lines). Slap: Everyone except Toad and Roast; Pimples and Big Eye only after their card.</t>
  </si>
  <si>
    <t xml:space="preserve">shared_02</t>
  </si>
  <si>
    <t xml:space="preserve">*drip*</t>
  </si>
  <si>
    <t xml:space="preserve">shared_03</t>
  </si>
  <si>
    <t xml:space="preserve">...</t>
  </si>
  <si>
    <t xml:space="preserve">shared_04</t>
  </si>
  <si>
    <t xml:space="preserve">go away.</t>
  </si>
  <si>
    <t xml:space="preserve">shared_05</t>
  </si>
  <si>
    <t xml:space="preserve">hrrk.</t>
  </si>
  <si>
    <t xml:space="preserve">shared_06</t>
  </si>
  <si>
    <t xml:space="preserve">mm.</t>
  </si>
  <si>
    <t xml:space="preserve">shared_07</t>
  </si>
  <si>
    <t xml:space="preserve">don't.</t>
  </si>
  <si>
    <t xml:space="preserve">shared_08</t>
  </si>
  <si>
    <t xml:space="preserve">*wet noise*</t>
  </si>
  <si>
    <t xml:space="preserve">shared_09</t>
  </si>
  <si>
    <t xml:space="preserve">*sputter*</t>
  </si>
  <si>
    <t xml:space="preserve">Everyone except Toad and Roast</t>
  </si>
  <si>
    <t xml:space="preserve">shared_10</t>
  </si>
  <si>
    <t xml:space="preserve">thanks, I guess.</t>
  </si>
  <si>
    <t xml:space="preserve">shared_11</t>
  </si>
  <si>
    <t xml:space="preserve">now I'm wet.</t>
  </si>
  <si>
    <t xml:space="preserve">shared_12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</si>
</sst>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0%"/>
    <numFmt numFmtId="166" formatCode="General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6"/>
      <name val="Arial"/>
      <family val="0"/>
      <charset val="1"/>
    </font>
    <font>
      <sz val="10"/>
      <name val="Arial"/>
      <family val="0"/>
      <charset val="1"/>
    </font>
    <font>
      <b val="true"/>
      <sz val="12"/>
      <name val="Arial"/>
      <family val="0"/>
      <charset val="1"/>
    </font>
    <font>
      <i val="true"/>
      <sz val="10"/>
      <color rgb="FF7F6F66"/>
      <name val="Arial"/>
      <family val="0"/>
      <charset val="1"/>
    </font>
    <font>
      <b val="true"/>
      <sz val="11"/>
      <color rgb="FFF5E3A1"/>
      <name val="Arial"/>
      <family val="0"/>
      <charset val="1"/>
    </font>
    <font>
      <b val="true"/>
      <sz val="11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F8E9D6"/>
      </patternFill>
    </fill>
    <fill>
      <patternFill patternType="solid">
        <fgColor rgb="FF2E1616"/>
        <bgColor rgb="FF333333"/>
      </patternFill>
    </fill>
    <fill>
      <patternFill patternType="solid">
        <fgColor rgb="FFF8E9D6"/>
        <bgColor rgb="FFFFF2CC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9C2B0"/>
      </left>
      <right style="thin">
        <color rgb="FFD9C2B0"/>
      </right>
      <top style="thin">
        <color rgb="FFD9C2B0"/>
      </top>
      <bottom style="thin">
        <color rgb="FFD9C2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8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9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5" fontId="9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5" fillId="2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7">
    <dxf>
      <fill>
        <patternFill patternType="solid">
          <fgColor rgb="FF2E1616"/>
          <bgColor rgb="FF000000"/>
        </patternFill>
      </fill>
    </dxf>
    <dxf>
      <fill>
        <patternFill patternType="solid">
          <fgColor rgb="FFF8E9D6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5E3A1"/>
          <bgColor rgb="FF000000"/>
        </patternFill>
      </fill>
    </dxf>
    <dxf>
      <fill>
        <patternFill patternType="solid">
          <fgColor rgb="FFFFF2CC"/>
          <bgColor rgb="FF000000"/>
        </patternFill>
      </fill>
    </dxf>
    <dxf>
      <fill>
        <patternFill>
          <bgColor rgb="FFD9EAD3"/>
        </patternFill>
      </fill>
    </dxf>
    <dxf>
      <fill>
        <patternFill>
          <bgColor rgb="FFF4CCCC"/>
        </patternFill>
      </fill>
    </dxf>
  </dxfs>
  <colors>
    <indexedColors>
      <rgbColor rgb="FF000000"/>
      <rgbColor rgb="FFF8E9D6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D9C2B0"/>
      <rgbColor rgb="FF7F6F66"/>
      <rgbColor rgb="FF9999FF"/>
      <rgbColor rgb="FF993366"/>
      <rgbColor rgb="FFFFF2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D9EAD3"/>
      <rgbColor rgb="FFF5E3A1"/>
      <rgbColor rgb="FF99CCFF"/>
      <rgbColor rgb="FFFF99CC"/>
      <rgbColor rgb="FFCC99FF"/>
      <rgbColor rgb="FFF4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2E1616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10"/>
  </cols>
  <sheetData>
    <row r="1" customFormat="false" ht="19.7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A3" s="2"/>
    </row>
    <row r="4" customFormat="false" ht="15" hidden="false" customHeight="false" outlineLevel="0" collapsed="false">
      <c r="A4" s="3" t="s">
        <v>2</v>
      </c>
    </row>
    <row r="5" customFormat="false" ht="15" hidden="false" customHeight="false" outlineLevel="0" collapsed="false">
      <c r="A5" s="2" t="s">
        <v>3</v>
      </c>
    </row>
    <row r="6" customFormat="false" ht="15" hidden="false" customHeight="false" outlineLevel="0" collapsed="false">
      <c r="A6" s="2" t="s">
        <v>4</v>
      </c>
    </row>
    <row r="7" customFormat="false" ht="15" hidden="false" customHeight="false" outlineLevel="0" collapsed="false">
      <c r="A7" s="2" t="s">
        <v>5</v>
      </c>
    </row>
    <row r="8" customFormat="false" ht="15" hidden="false" customHeight="false" outlineLevel="0" collapsed="false">
      <c r="A8" s="2"/>
    </row>
    <row r="9" customFormat="false" ht="15" hidden="false" customHeight="false" outlineLevel="0" collapsed="false">
      <c r="A9" s="3" t="s">
        <v>6</v>
      </c>
    </row>
    <row r="10" customFormat="false" ht="15" hidden="false" customHeight="false" outlineLevel="0" collapsed="false">
      <c r="A10" s="4" t="s">
        <v>7</v>
      </c>
    </row>
    <row r="11" customFormat="false" ht="15" hidden="false" customHeight="false" outlineLevel="0" collapsed="false">
      <c r="A11" s="4" t="s">
        <v>8</v>
      </c>
    </row>
    <row r="12" customFormat="false" ht="15" hidden="false" customHeight="false" outlineLevel="0" collapsed="false">
      <c r="A12" s="2" t="s">
        <v>9</v>
      </c>
    </row>
    <row r="13" customFormat="false" ht="15" hidden="false" customHeight="false" outlineLevel="0" collapsed="false">
      <c r="A13" s="2"/>
    </row>
    <row r="14" customFormat="false" ht="15" hidden="false" customHeight="false" outlineLevel="0" collapsed="false">
      <c r="A14" s="3" t="s">
        <v>10</v>
      </c>
    </row>
    <row r="15" customFormat="false" ht="15" hidden="false" customHeight="false" outlineLevel="0" collapsed="false">
      <c r="A15" s="2" t="s">
        <v>11</v>
      </c>
    </row>
    <row r="16" customFormat="false" ht="15" hidden="false" customHeight="false" outlineLevel="0" collapsed="false">
      <c r="A16" s="2" t="s">
        <v>12</v>
      </c>
    </row>
    <row r="17" customFormat="false" ht="15" hidden="false" customHeight="false" outlineLevel="0" collapsed="false">
      <c r="A17" s="2" t="s">
        <v>13</v>
      </c>
    </row>
    <row r="18" customFormat="false" ht="15" hidden="false" customHeight="false" outlineLevel="0" collapsed="false">
      <c r="A18" s="2" t="s">
        <v>14</v>
      </c>
    </row>
    <row r="19" customFormat="false" ht="15" hidden="false" customHeight="false" outlineLevel="0" collapsed="false">
      <c r="A19" s="2" t="s">
        <v>15</v>
      </c>
    </row>
    <row r="20" customFormat="false" ht="15" hidden="false" customHeight="false" outlineLevel="0" collapsed="false">
      <c r="A20" s="2"/>
    </row>
    <row r="21" customFormat="false" ht="15" hidden="false" customHeight="false" outlineLevel="0" collapsed="false">
      <c r="A21" s="3" t="s">
        <v>16</v>
      </c>
    </row>
    <row r="22" customFormat="false" ht="15" hidden="false" customHeight="false" outlineLevel="0" collapsed="false">
      <c r="A22" s="2" t="s">
        <v>17</v>
      </c>
    </row>
    <row r="23" customFormat="false" ht="15" hidden="false" customHeight="false" outlineLevel="0" collapsed="false">
      <c r="A23" s="2" t="s">
        <v>18</v>
      </c>
    </row>
    <row r="24" customFormat="false" ht="15" hidden="false" customHeight="false" outlineLevel="0" collapsed="false">
      <c r="A24" s="2"/>
    </row>
    <row r="25" customFormat="false" ht="15" hidden="false" customHeight="false" outlineLevel="0" collapsed="false">
      <c r="A25" s="5" t="s">
        <v>19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11"/>
    <col collapsed="false" customWidth="true" hidden="false" outlineLevel="0" max="4" min="3" style="0" width="20"/>
    <col collapsed="false" customWidth="true" hidden="false" outlineLevel="0" max="5" min="5" style="0" width="30"/>
    <col collapsed="false" customWidth="true" hidden="false" outlineLevel="0" max="6" min="6" style="0" width="36"/>
    <col collapsed="false" customWidth="true" hidden="false" outlineLevel="0" max="7" min="7" style="0" width="38"/>
    <col collapsed="false" customWidth="true" hidden="false" outlineLevel="0" max="8" min="8" style="0" width="7"/>
    <col collapsed="false" customWidth="true" hidden="false" outlineLevel="0" max="9" min="9" style="0" width="9"/>
    <col collapsed="false" customWidth="true" hidden="false" outlineLevel="0" max="10" min="10" style="0" width="8"/>
  </cols>
  <sheetData>
    <row r="1" customFormat="false" ht="30" hidden="false" customHeight="true" outlineLevel="0" collapsed="false">
      <c r="A1" s="6" t="s">
        <v>20</v>
      </c>
      <c r="B1" s="6" t="s">
        <v>21</v>
      </c>
      <c r="C1" s="6" t="s">
        <v>22</v>
      </c>
      <c r="D1" s="6" t="s">
        <v>23</v>
      </c>
      <c r="E1" s="6" t="s">
        <v>24</v>
      </c>
      <c r="F1" s="6" t="s">
        <v>25</v>
      </c>
      <c r="G1" s="6" t="s">
        <v>26</v>
      </c>
      <c r="H1" s="6" t="s">
        <v>27</v>
      </c>
      <c r="I1" s="6" t="s">
        <v>28</v>
      </c>
      <c r="J1" s="6" t="s">
        <v>29</v>
      </c>
    </row>
    <row r="2" customFormat="false" ht="23.85" hidden="false" customHeight="false" outlineLevel="0" collapsed="false">
      <c r="A2" s="7" t="s">
        <v>30</v>
      </c>
      <c r="B2" s="8" t="s">
        <v>31</v>
      </c>
      <c r="C2" s="8" t="s">
        <v>32</v>
      </c>
      <c r="D2" s="8" t="s">
        <v>33</v>
      </c>
      <c r="E2" s="8" t="s">
        <v>34</v>
      </c>
      <c r="F2" s="8" t="s">
        <v>35</v>
      </c>
      <c r="G2" s="8" t="s">
        <v>36</v>
      </c>
      <c r="H2" s="8" t="n">
        <f aca="false">COUNTIF(Script!$B$2:$B$90,A2)</f>
        <v>19</v>
      </c>
      <c r="I2" s="8" t="n">
        <f aca="false">COUNTIFS(Script!$B$2:$B$90,A2,Script!$G$2:$G$90,"Recorded")</f>
        <v>0</v>
      </c>
      <c r="J2" s="9" t="n">
        <f aca="false">IF(H2=0,0,I2/H2)</f>
        <v>0</v>
      </c>
    </row>
    <row r="3" customFormat="false" ht="23.85" hidden="false" customHeight="false" outlineLevel="0" collapsed="false">
      <c r="A3" s="7" t="s">
        <v>37</v>
      </c>
      <c r="B3" s="8" t="s">
        <v>38</v>
      </c>
      <c r="C3" s="8" t="s">
        <v>39</v>
      </c>
      <c r="D3" s="8" t="s">
        <v>40</v>
      </c>
      <c r="E3" s="8" t="s">
        <v>41</v>
      </c>
      <c r="F3" s="8" t="s">
        <v>42</v>
      </c>
      <c r="G3" s="8" t="s">
        <v>43</v>
      </c>
      <c r="H3" s="8" t="n">
        <f aca="false">COUNTIF(Script!$B$2:$B$90,A3)</f>
        <v>8</v>
      </c>
      <c r="I3" s="8" t="n">
        <f aca="false">COUNTIFS(Script!$B$2:$B$90,A3,Script!$G$2:$G$90,"Recorded")</f>
        <v>0</v>
      </c>
      <c r="J3" s="9" t="n">
        <f aca="false">IF(H3=0,0,I3/H3)</f>
        <v>0</v>
      </c>
    </row>
    <row r="4" customFormat="false" ht="15" hidden="false" customHeight="false" outlineLevel="0" collapsed="false">
      <c r="A4" s="7" t="s">
        <v>44</v>
      </c>
      <c r="B4" s="8" t="s">
        <v>45</v>
      </c>
      <c r="C4" s="8" t="s">
        <v>39</v>
      </c>
      <c r="D4" s="8" t="s">
        <v>46</v>
      </c>
      <c r="E4" s="8" t="s">
        <v>47</v>
      </c>
      <c r="F4" s="8" t="s">
        <v>48</v>
      </c>
      <c r="G4" s="8" t="s">
        <v>49</v>
      </c>
      <c r="H4" s="8" t="n">
        <f aca="false">COUNTIF(Script!$B$2:$B$90,A4)</f>
        <v>3</v>
      </c>
      <c r="I4" s="8" t="n">
        <f aca="false">COUNTIFS(Script!$B$2:$B$90,A4,Script!$G$2:$G$90,"Recorded")</f>
        <v>0</v>
      </c>
      <c r="J4" s="9" t="n">
        <f aca="false">IF(H4=0,0,I4/H4)</f>
        <v>0</v>
      </c>
    </row>
    <row r="5" customFormat="false" ht="15" hidden="false" customHeight="false" outlineLevel="0" collapsed="false">
      <c r="A5" s="7" t="s">
        <v>50</v>
      </c>
      <c r="B5" s="8" t="s">
        <v>51</v>
      </c>
      <c r="C5" s="8" t="s">
        <v>39</v>
      </c>
      <c r="D5" s="8" t="s">
        <v>46</v>
      </c>
      <c r="E5" s="8" t="s">
        <v>52</v>
      </c>
      <c r="F5" s="8" t="s">
        <v>53</v>
      </c>
      <c r="G5" s="8" t="s">
        <v>54</v>
      </c>
      <c r="H5" s="8" t="n">
        <f aca="false">COUNTIF(Script!$B$2:$B$90,A5)</f>
        <v>3</v>
      </c>
      <c r="I5" s="8" t="n">
        <f aca="false">COUNTIFS(Script!$B$2:$B$90,A5,Script!$G$2:$G$90,"Recorded")</f>
        <v>0</v>
      </c>
      <c r="J5" s="9" t="n">
        <f aca="false">IF(H5=0,0,I5/H5)</f>
        <v>0</v>
      </c>
    </row>
    <row r="6" customFormat="false" ht="15" hidden="false" customHeight="false" outlineLevel="0" collapsed="false">
      <c r="A6" s="7" t="s">
        <v>55</v>
      </c>
      <c r="B6" s="8" t="s">
        <v>56</v>
      </c>
      <c r="C6" s="8" t="s">
        <v>39</v>
      </c>
      <c r="D6" s="8" t="s">
        <v>46</v>
      </c>
      <c r="E6" s="8" t="s">
        <v>57</v>
      </c>
      <c r="F6" s="8" t="s">
        <v>58</v>
      </c>
      <c r="G6" s="8" t="s">
        <v>59</v>
      </c>
      <c r="H6" s="8" t="n">
        <f aca="false">COUNTIF(Script!$B$2:$B$90,A6)</f>
        <v>3</v>
      </c>
      <c r="I6" s="8" t="n">
        <f aca="false">COUNTIFS(Script!$B$2:$B$90,A6,Script!$G$2:$G$90,"Recorded")</f>
        <v>0</v>
      </c>
      <c r="J6" s="9" t="n">
        <f aca="false">IF(H6=0,0,I6/H6)</f>
        <v>0</v>
      </c>
    </row>
    <row r="7" customFormat="false" ht="23.85" hidden="false" customHeight="false" outlineLevel="0" collapsed="false">
      <c r="A7" s="7" t="s">
        <v>60</v>
      </c>
      <c r="B7" s="8" t="s">
        <v>61</v>
      </c>
      <c r="C7" s="8" t="s">
        <v>39</v>
      </c>
      <c r="D7" s="8" t="s">
        <v>46</v>
      </c>
      <c r="E7" s="8" t="s">
        <v>62</v>
      </c>
      <c r="F7" s="8" t="s">
        <v>63</v>
      </c>
      <c r="G7" s="8" t="s">
        <v>64</v>
      </c>
      <c r="H7" s="8" t="n">
        <f aca="false">COUNTIF(Script!$B$2:$B$90,A7)</f>
        <v>2</v>
      </c>
      <c r="I7" s="8" t="n">
        <f aca="false">COUNTIFS(Script!$B$2:$B$90,A7,Script!$G$2:$G$90,"Recorded")</f>
        <v>0</v>
      </c>
      <c r="J7" s="9" t="n">
        <f aca="false">IF(H7=0,0,I7/H7)</f>
        <v>0</v>
      </c>
    </row>
    <row r="8" customFormat="false" ht="15" hidden="false" customHeight="false" outlineLevel="0" collapsed="false">
      <c r="A8" s="7" t="s">
        <v>65</v>
      </c>
      <c r="B8" s="8" t="s">
        <v>66</v>
      </c>
      <c r="C8" s="8" t="s">
        <v>39</v>
      </c>
      <c r="D8" s="8" t="s">
        <v>67</v>
      </c>
      <c r="E8" s="8" t="s">
        <v>68</v>
      </c>
      <c r="F8" s="8" t="s">
        <v>69</v>
      </c>
      <c r="G8" s="8" t="s">
        <v>70</v>
      </c>
      <c r="H8" s="8" t="n">
        <f aca="false">COUNTIF(Script!$B$2:$B$90,A8)</f>
        <v>3</v>
      </c>
      <c r="I8" s="8" t="n">
        <f aca="false">COUNTIFS(Script!$B$2:$B$90,A8,Script!$G$2:$G$90,"Recorded")</f>
        <v>0</v>
      </c>
      <c r="J8" s="9" t="n">
        <f aca="false">IF(H8=0,0,I8/H8)</f>
        <v>0</v>
      </c>
    </row>
    <row r="9" customFormat="false" ht="23.85" hidden="false" customHeight="false" outlineLevel="0" collapsed="false">
      <c r="A9" s="7" t="s">
        <v>71</v>
      </c>
      <c r="B9" s="8" t="s">
        <v>72</v>
      </c>
      <c r="C9" s="8" t="s">
        <v>73</v>
      </c>
      <c r="D9" s="8" t="s">
        <v>74</v>
      </c>
      <c r="E9" s="8" t="s">
        <v>75</v>
      </c>
      <c r="F9" s="8" t="s">
        <v>76</v>
      </c>
      <c r="G9" s="8" t="s">
        <v>77</v>
      </c>
      <c r="H9" s="8" t="n">
        <f aca="false">COUNTIF(Script!$B$2:$B$90,A9)</f>
        <v>6</v>
      </c>
      <c r="I9" s="8" t="n">
        <f aca="false">COUNTIFS(Script!$B$2:$B$90,A9,Script!$G$2:$G$90,"Recorded")</f>
        <v>0</v>
      </c>
      <c r="J9" s="9" t="n">
        <f aca="false">IF(H9=0,0,I9/H9)</f>
        <v>0</v>
      </c>
    </row>
    <row r="10" customFormat="false" ht="15" hidden="false" customHeight="false" outlineLevel="0" collapsed="false">
      <c r="A10" s="7" t="s">
        <v>78</v>
      </c>
      <c r="B10" s="8" t="s">
        <v>79</v>
      </c>
      <c r="C10" s="8" t="s">
        <v>73</v>
      </c>
      <c r="D10" s="8" t="s">
        <v>46</v>
      </c>
      <c r="E10" s="8" t="s">
        <v>80</v>
      </c>
      <c r="F10" s="8" t="s">
        <v>81</v>
      </c>
      <c r="G10" s="8" t="s">
        <v>82</v>
      </c>
      <c r="H10" s="8" t="n">
        <f aca="false">COUNTIF(Script!$B$2:$B$90,A10)</f>
        <v>2</v>
      </c>
      <c r="I10" s="8" t="n">
        <f aca="false">COUNTIFS(Script!$B$2:$B$90,A10,Script!$G$2:$G$90,"Recorded")</f>
        <v>0</v>
      </c>
      <c r="J10" s="9" t="n">
        <f aca="false">IF(H10=0,0,I10/H10)</f>
        <v>0</v>
      </c>
    </row>
    <row r="11" customFormat="false" ht="15" hidden="false" customHeight="false" outlineLevel="0" collapsed="false">
      <c r="A11" s="7" t="s">
        <v>83</v>
      </c>
      <c r="B11" s="8" t="s">
        <v>84</v>
      </c>
      <c r="C11" s="8" t="s">
        <v>85</v>
      </c>
      <c r="D11" s="8" t="s">
        <v>46</v>
      </c>
      <c r="E11" s="8" t="s">
        <v>86</v>
      </c>
      <c r="F11" s="8" t="s">
        <v>87</v>
      </c>
      <c r="G11" s="8" t="s">
        <v>88</v>
      </c>
      <c r="H11" s="8" t="n">
        <f aca="false">COUNTIF(Script!$B$2:$B$90,A11)</f>
        <v>6</v>
      </c>
      <c r="I11" s="8" t="n">
        <f aca="false">COUNTIFS(Script!$B$2:$B$90,A11,Script!$G$2:$G$90,"Recorded")</f>
        <v>0</v>
      </c>
      <c r="J11" s="9" t="n">
        <f aca="false">IF(H11=0,0,I11/H11)</f>
        <v>0</v>
      </c>
    </row>
    <row r="12" customFormat="false" ht="23.85" hidden="false" customHeight="false" outlineLevel="0" collapsed="false">
      <c r="A12" s="7" t="s">
        <v>89</v>
      </c>
      <c r="B12" s="8" t="s">
        <v>90</v>
      </c>
      <c r="C12" s="8" t="s">
        <v>73</v>
      </c>
      <c r="D12" s="8" t="s">
        <v>46</v>
      </c>
      <c r="E12" s="8" t="s">
        <v>91</v>
      </c>
      <c r="F12" s="8" t="s">
        <v>92</v>
      </c>
      <c r="G12" s="8" t="s">
        <v>93</v>
      </c>
      <c r="H12" s="8" t="n">
        <f aca="false">COUNTIF(Script!$B$2:$B$90,A12)</f>
        <v>3</v>
      </c>
      <c r="I12" s="8" t="n">
        <f aca="false">COUNTIFS(Script!$B$2:$B$90,A12,Script!$G$2:$G$90,"Recorded")</f>
        <v>0</v>
      </c>
      <c r="J12" s="9" t="n">
        <f aca="false">IF(H12=0,0,I12/H12)</f>
        <v>0</v>
      </c>
    </row>
    <row r="13" customFormat="false" ht="23.85" hidden="false" customHeight="false" outlineLevel="0" collapsed="false">
      <c r="A13" s="7" t="s">
        <v>94</v>
      </c>
      <c r="B13" s="8" t="s">
        <v>95</v>
      </c>
      <c r="C13" s="8" t="s">
        <v>96</v>
      </c>
      <c r="D13" s="8" t="s">
        <v>46</v>
      </c>
      <c r="E13" s="8" t="s">
        <v>97</v>
      </c>
      <c r="F13" s="8" t="s">
        <v>98</v>
      </c>
      <c r="G13" s="8" t="s">
        <v>99</v>
      </c>
      <c r="H13" s="8" t="n">
        <f aca="false">COUNTIF(Script!$B$2:$B$90,A13)</f>
        <v>3</v>
      </c>
      <c r="I13" s="8" t="n">
        <f aca="false">COUNTIFS(Script!$B$2:$B$90,A13,Script!$G$2:$G$90,"Recorded")</f>
        <v>0</v>
      </c>
      <c r="J13" s="9" t="n">
        <f aca="false">IF(H13=0,0,I13/H13)</f>
        <v>0</v>
      </c>
    </row>
    <row r="14" customFormat="false" ht="15" hidden="false" customHeight="false" outlineLevel="0" collapsed="false">
      <c r="A14" s="7" t="s">
        <v>100</v>
      </c>
      <c r="B14" s="8" t="s">
        <v>101</v>
      </c>
      <c r="C14" s="8" t="s">
        <v>73</v>
      </c>
      <c r="D14" s="8" t="s">
        <v>67</v>
      </c>
      <c r="E14" s="8" t="s">
        <v>102</v>
      </c>
      <c r="F14" s="8" t="s">
        <v>103</v>
      </c>
      <c r="G14" s="8" t="s">
        <v>104</v>
      </c>
      <c r="H14" s="8" t="n">
        <f aca="false">COUNTIF(Script!$B$2:$B$90,A14)</f>
        <v>3</v>
      </c>
      <c r="I14" s="8" t="n">
        <f aca="false">COUNTIFS(Script!$B$2:$B$90,A14,Script!$G$2:$G$90,"Recorded")</f>
        <v>0</v>
      </c>
      <c r="J14" s="9" t="n">
        <f aca="false">IF(H14=0,0,I14/H14)</f>
        <v>0</v>
      </c>
    </row>
    <row r="15" customFormat="false" ht="15" hidden="false" customHeight="false" outlineLevel="0" collapsed="false">
      <c r="A15" s="7" t="s">
        <v>105</v>
      </c>
      <c r="B15" s="8" t="s">
        <v>106</v>
      </c>
      <c r="C15" s="8" t="s">
        <v>73</v>
      </c>
      <c r="D15" s="8" t="s">
        <v>107</v>
      </c>
      <c r="E15" s="8" t="s">
        <v>108</v>
      </c>
      <c r="F15" s="8" t="s">
        <v>109</v>
      </c>
      <c r="G15" s="8" t="s">
        <v>110</v>
      </c>
      <c r="H15" s="8" t="n">
        <f aca="false">COUNTIF(Script!$B$2:$B$90,A15)</f>
        <v>2</v>
      </c>
      <c r="I15" s="8" t="n">
        <f aca="false">COUNTIFS(Script!$B$2:$B$90,A15,Script!$G$2:$G$90,"Recorded")</f>
        <v>0</v>
      </c>
      <c r="J15" s="9" t="n">
        <f aca="false">IF(H15=0,0,I15/H15)</f>
        <v>0</v>
      </c>
    </row>
    <row r="16" customFormat="false" ht="15" hidden="false" customHeight="false" outlineLevel="0" collapsed="false">
      <c r="A16" s="7" t="s">
        <v>111</v>
      </c>
      <c r="B16" s="8" t="s">
        <v>112</v>
      </c>
      <c r="C16" s="8" t="s">
        <v>113</v>
      </c>
      <c r="D16" s="8" t="s">
        <v>46</v>
      </c>
      <c r="E16" s="8" t="s">
        <v>114</v>
      </c>
      <c r="F16" s="8" t="s">
        <v>115</v>
      </c>
      <c r="G16" s="8" t="s">
        <v>116</v>
      </c>
      <c r="H16" s="8" t="n">
        <f aca="false">COUNTIF(Script!$B$2:$B$90,A16)</f>
        <v>6</v>
      </c>
      <c r="I16" s="8" t="n">
        <f aca="false">COUNTIFS(Script!$B$2:$B$90,A16,Script!$G$2:$G$90,"Recorded")</f>
        <v>0</v>
      </c>
      <c r="J16" s="9" t="n">
        <f aca="false">IF(H16=0,0,I16/H16)</f>
        <v>0</v>
      </c>
    </row>
    <row r="17" customFormat="false" ht="15" hidden="false" customHeight="false" outlineLevel="0" collapsed="false">
      <c r="A17" s="7" t="s">
        <v>117</v>
      </c>
      <c r="B17" s="8" t="s">
        <v>118</v>
      </c>
      <c r="C17" s="8" t="s">
        <v>113</v>
      </c>
      <c r="D17" s="8" t="s">
        <v>46</v>
      </c>
      <c r="E17" s="8" t="s">
        <v>119</v>
      </c>
      <c r="F17" s="8" t="s">
        <v>120</v>
      </c>
      <c r="G17" s="8" t="s">
        <v>121</v>
      </c>
      <c r="H17" s="8" t="n">
        <f aca="false">COUNTIF(Script!$B$2:$B$90,A17)</f>
        <v>4</v>
      </c>
      <c r="I17" s="8" t="n">
        <f aca="false">COUNTIFS(Script!$B$2:$B$90,A17,Script!$G$2:$G$90,"Recorded")</f>
        <v>0</v>
      </c>
      <c r="J17" s="9" t="n">
        <f aca="false">IF(H17=0,0,I17/H17)</f>
        <v>0</v>
      </c>
    </row>
    <row r="18" customFormat="false" ht="15" hidden="false" customHeight="false" outlineLevel="0" collapsed="false">
      <c r="A18" s="7" t="s">
        <v>122</v>
      </c>
      <c r="B18" s="8" t="s">
        <v>123</v>
      </c>
      <c r="C18" s="8" t="s">
        <v>113</v>
      </c>
      <c r="D18" s="8" t="s">
        <v>46</v>
      </c>
      <c r="E18" s="8" t="s">
        <v>124</v>
      </c>
      <c r="F18" s="8" t="s">
        <v>125</v>
      </c>
      <c r="G18" s="8" t="s">
        <v>126</v>
      </c>
      <c r="H18" s="8" t="n">
        <f aca="false">COUNTIF(Script!$B$2:$B$90,A18)</f>
        <v>3</v>
      </c>
      <c r="I18" s="8" t="n">
        <f aca="false">COUNTIFS(Script!$B$2:$B$90,A18,Script!$G$2:$G$90,"Recorded")</f>
        <v>0</v>
      </c>
      <c r="J18" s="9" t="n">
        <f aca="false">IF(H18=0,0,I18/H18)</f>
        <v>0</v>
      </c>
    </row>
    <row r="19" customFormat="false" ht="15" hidden="false" customHeight="false" outlineLevel="0" collapsed="false">
      <c r="A19" s="7" t="s">
        <v>127</v>
      </c>
      <c r="B19" s="8" t="s">
        <v>128</v>
      </c>
      <c r="C19" s="8" t="s">
        <v>113</v>
      </c>
      <c r="D19" s="8" t="s">
        <v>40</v>
      </c>
      <c r="E19" s="8" t="s">
        <v>129</v>
      </c>
      <c r="F19" s="8" t="s">
        <v>130</v>
      </c>
      <c r="G19" s="8" t="s">
        <v>131</v>
      </c>
      <c r="H19" s="8" t="n">
        <f aca="false">COUNTIF(Script!$B$2:$B$90,A19)</f>
        <v>2</v>
      </c>
      <c r="I19" s="8" t="n">
        <f aca="false">COUNTIFS(Script!$B$2:$B$90,A19,Script!$G$2:$G$90,"Recorded")</f>
        <v>0</v>
      </c>
      <c r="J19" s="9" t="n">
        <f aca="false">IF(H19=0,0,I19/H19)</f>
        <v>0</v>
      </c>
    </row>
    <row r="20" customFormat="false" ht="15" hidden="false" customHeight="false" outlineLevel="0" collapsed="false">
      <c r="A20" s="7" t="s">
        <v>132</v>
      </c>
      <c r="B20" s="8" t="s">
        <v>133</v>
      </c>
      <c r="C20" s="8" t="s">
        <v>113</v>
      </c>
      <c r="D20" s="8" t="s">
        <v>40</v>
      </c>
      <c r="E20" s="8" t="s">
        <v>134</v>
      </c>
      <c r="F20" s="8" t="s">
        <v>135</v>
      </c>
      <c r="G20" s="8" t="s">
        <v>136</v>
      </c>
      <c r="H20" s="8" t="n">
        <f aca="false">COUNTIF(Script!$B$2:$B$90,A20)</f>
        <v>3</v>
      </c>
      <c r="I20" s="8" t="n">
        <f aca="false">COUNTIFS(Script!$B$2:$B$90,A20,Script!$G$2:$G$90,"Recorded")</f>
        <v>0</v>
      </c>
      <c r="J20" s="9" t="n">
        <f aca="false">IF(H20=0,0,I20/H20)</f>
        <v>0</v>
      </c>
    </row>
    <row r="21" customFormat="false" ht="23.85" hidden="false" customHeight="false" outlineLevel="0" collapsed="false">
      <c r="A21" s="7" t="s">
        <v>137</v>
      </c>
      <c r="B21" s="8" t="s">
        <v>138</v>
      </c>
      <c r="C21" s="8" t="s">
        <v>113</v>
      </c>
      <c r="D21" s="8" t="s">
        <v>139</v>
      </c>
      <c r="E21" s="8" t="s">
        <v>140</v>
      </c>
      <c r="F21" s="8" t="s">
        <v>141</v>
      </c>
      <c r="G21" s="8" t="s">
        <v>142</v>
      </c>
      <c r="H21" s="8" t="n">
        <f aca="false">COUNTIF(Script!$B$2:$B$90,A21)</f>
        <v>3</v>
      </c>
      <c r="I21" s="8" t="n">
        <f aca="false">COUNTIFS(Script!$B$2:$B$90,A21,Script!$G$2:$G$90,"Recorded")</f>
        <v>0</v>
      </c>
      <c r="J21" s="9" t="n">
        <f aca="false">IF(H21=0,0,I21/H21)</f>
        <v>0</v>
      </c>
    </row>
    <row r="22" customFormat="false" ht="23.85" hidden="false" customHeight="false" outlineLevel="0" collapsed="false">
      <c r="A22" s="7" t="s">
        <v>143</v>
      </c>
      <c r="B22" s="8" t="s">
        <v>144</v>
      </c>
      <c r="C22" s="8" t="s">
        <v>113</v>
      </c>
      <c r="D22" s="8" t="s">
        <v>46</v>
      </c>
      <c r="E22" s="8" t="s">
        <v>145</v>
      </c>
      <c r="F22" s="8" t="s">
        <v>146</v>
      </c>
      <c r="G22" s="8" t="s">
        <v>147</v>
      </c>
      <c r="H22" s="8" t="n">
        <f aca="false">COUNTIF(Script!$B$2:$B$90,A22)</f>
        <v>2</v>
      </c>
      <c r="I22" s="8" t="n">
        <f aca="false">COUNTIFS(Script!$B$2:$B$90,A22,Script!$G$2:$G$90,"Recorded")</f>
        <v>0</v>
      </c>
      <c r="J22" s="9" t="n">
        <f aca="false">IF(H22=0,0,I22/H22)</f>
        <v>0</v>
      </c>
    </row>
    <row r="23" customFormat="false" ht="15" hidden="false" customHeight="false" outlineLevel="0" collapsed="false">
      <c r="A23" s="10" t="s">
        <v>148</v>
      </c>
      <c r="H23" s="11" t="n">
        <f aca="false">SUM(H2:H22)</f>
        <v>89</v>
      </c>
      <c r="I23" s="11" t="n">
        <f aca="false">SUM(I2:I22)</f>
        <v>0</v>
      </c>
      <c r="J23" s="12" t="n">
        <f aca="false">IF(H23=0,0,I23/H23)</f>
        <v>0</v>
      </c>
    </row>
    <row r="24" customFormat="false" ht="15" hidden="false" customHeight="false" outlineLevel="0" collapsed="false">
      <c r="A24" s="10" t="s">
        <v>149</v>
      </c>
      <c r="H24" s="11" t="n">
        <f aca="false">COUNTA('Shared reactions'!B2:B13)</f>
        <v>12</v>
      </c>
      <c r="I24" s="11" t="n">
        <f aca="false">COUNTIF('Shared reactions'!E2:E13,"Recorded")</f>
        <v>0</v>
      </c>
      <c r="J24" s="12" t="n">
        <f aca="false">IF(H24=0,0,I24/H24)</f>
        <v>0</v>
      </c>
    </row>
    <row r="25" customFormat="false" ht="15" hidden="false" customHeight="false" outlineLevel="0" collapsed="false">
      <c r="A25" s="10" t="s">
        <v>150</v>
      </c>
      <c r="H25" s="11" t="n">
        <f aca="false">H23+H24</f>
        <v>101</v>
      </c>
      <c r="I25" s="11" t="n">
        <f aca="false">I23+I24</f>
        <v>0</v>
      </c>
      <c r="J25" s="12" t="n">
        <f aca="false">IF(H25=0,0,I25/H25)</f>
        <v>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9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5"/>
    <col collapsed="false" customWidth="true" hidden="false" outlineLevel="0" max="4" min="4" style="0" width="46"/>
    <col collapsed="false" customWidth="true" hidden="false" outlineLevel="0" max="5" min="5" style="0" width="10"/>
    <col collapsed="false" customWidth="true" hidden="false" outlineLevel="0" max="6" min="6" style="0" width="52"/>
    <col collapsed="false" customWidth="true" hidden="false" outlineLevel="0" max="7" min="7" style="0" width="12"/>
    <col collapsed="false" customWidth="true" hidden="false" outlineLevel="0" max="8" min="8" style="0" width="34"/>
  </cols>
  <sheetData>
    <row r="1" customFormat="false" ht="30" hidden="false" customHeight="true" outlineLevel="0" collapsed="false">
      <c r="A1" s="6" t="s">
        <v>151</v>
      </c>
      <c r="B1" s="6" t="s">
        <v>20</v>
      </c>
      <c r="C1" s="6" t="s">
        <v>152</v>
      </c>
      <c r="D1" s="6" t="s">
        <v>153</v>
      </c>
      <c r="E1" s="6" t="s">
        <v>154</v>
      </c>
      <c r="F1" s="6" t="s">
        <v>155</v>
      </c>
      <c r="G1" s="6" t="s">
        <v>156</v>
      </c>
      <c r="H1" s="6" t="s">
        <v>157</v>
      </c>
    </row>
    <row r="2" customFormat="false" ht="15" hidden="false" customHeight="false" outlineLevel="0" collapsed="false">
      <c r="A2" s="13" t="s">
        <v>158</v>
      </c>
      <c r="B2" s="13" t="s">
        <v>30</v>
      </c>
      <c r="C2" s="13" t="n">
        <v>1</v>
      </c>
      <c r="D2" s="7" t="s">
        <v>159</v>
      </c>
      <c r="E2" s="13" t="s">
        <v>160</v>
      </c>
      <c r="F2" s="13" t="s">
        <v>161</v>
      </c>
      <c r="G2" s="14" t="s">
        <v>162</v>
      </c>
      <c r="H2" s="14"/>
    </row>
    <row r="3" customFormat="false" ht="15" hidden="false" customHeight="false" outlineLevel="0" collapsed="false">
      <c r="A3" s="13" t="s">
        <v>163</v>
      </c>
      <c r="B3" s="13" t="s">
        <v>30</v>
      </c>
      <c r="C3" s="13" t="n">
        <v>2</v>
      </c>
      <c r="D3" s="7" t="s">
        <v>164</v>
      </c>
      <c r="E3" s="13" t="s">
        <v>160</v>
      </c>
      <c r="F3" s="13" t="s">
        <v>161</v>
      </c>
      <c r="G3" s="14" t="s">
        <v>162</v>
      </c>
      <c r="H3" s="14"/>
    </row>
    <row r="4" customFormat="false" ht="15" hidden="false" customHeight="false" outlineLevel="0" collapsed="false">
      <c r="A4" s="13" t="s">
        <v>165</v>
      </c>
      <c r="B4" s="13" t="s">
        <v>30</v>
      </c>
      <c r="C4" s="13" t="n">
        <v>3</v>
      </c>
      <c r="D4" s="7" t="s">
        <v>166</v>
      </c>
      <c r="E4" s="13" t="s">
        <v>160</v>
      </c>
      <c r="F4" s="13" t="s">
        <v>167</v>
      </c>
      <c r="G4" s="14" t="s">
        <v>162</v>
      </c>
      <c r="H4" s="14"/>
    </row>
    <row r="5" customFormat="false" ht="15" hidden="false" customHeight="false" outlineLevel="0" collapsed="false">
      <c r="A5" s="13" t="s">
        <v>168</v>
      </c>
      <c r="B5" s="13" t="s">
        <v>30</v>
      </c>
      <c r="C5" s="13" t="n">
        <v>4</v>
      </c>
      <c r="D5" s="7" t="s">
        <v>169</v>
      </c>
      <c r="E5" s="13" t="s">
        <v>160</v>
      </c>
      <c r="F5" s="13" t="s">
        <v>167</v>
      </c>
      <c r="G5" s="14" t="s">
        <v>162</v>
      </c>
      <c r="H5" s="14"/>
    </row>
    <row r="6" customFormat="false" ht="15" hidden="false" customHeight="false" outlineLevel="0" collapsed="false">
      <c r="A6" s="13" t="s">
        <v>170</v>
      </c>
      <c r="B6" s="13" t="s">
        <v>30</v>
      </c>
      <c r="C6" s="13" t="n">
        <v>5</v>
      </c>
      <c r="D6" s="7" t="s">
        <v>171</v>
      </c>
      <c r="E6" s="13" t="s">
        <v>160</v>
      </c>
      <c r="F6" s="13" t="s">
        <v>167</v>
      </c>
      <c r="G6" s="14" t="s">
        <v>162</v>
      </c>
      <c r="H6" s="14"/>
    </row>
    <row r="7" customFormat="false" ht="15" hidden="false" customHeight="false" outlineLevel="0" collapsed="false">
      <c r="A7" s="13" t="s">
        <v>172</v>
      </c>
      <c r="B7" s="13" t="s">
        <v>30</v>
      </c>
      <c r="C7" s="13" t="n">
        <v>6</v>
      </c>
      <c r="D7" s="7" t="s">
        <v>173</v>
      </c>
      <c r="E7" s="13" t="s">
        <v>160</v>
      </c>
      <c r="F7" s="13" t="s">
        <v>174</v>
      </c>
      <c r="G7" s="14" t="s">
        <v>162</v>
      </c>
      <c r="H7" s="14"/>
    </row>
    <row r="8" customFormat="false" ht="15" hidden="false" customHeight="false" outlineLevel="0" collapsed="false">
      <c r="A8" s="13" t="s">
        <v>175</v>
      </c>
      <c r="B8" s="13" t="s">
        <v>30</v>
      </c>
      <c r="C8" s="13" t="n">
        <v>7</v>
      </c>
      <c r="D8" s="7" t="s">
        <v>176</v>
      </c>
      <c r="E8" s="13" t="s">
        <v>160</v>
      </c>
      <c r="F8" s="13" t="s">
        <v>174</v>
      </c>
      <c r="G8" s="14" t="s">
        <v>162</v>
      </c>
      <c r="H8" s="14"/>
    </row>
    <row r="9" customFormat="false" ht="15" hidden="false" customHeight="false" outlineLevel="0" collapsed="false">
      <c r="A9" s="13" t="s">
        <v>177</v>
      </c>
      <c r="B9" s="13" t="s">
        <v>30</v>
      </c>
      <c r="C9" s="13" t="n">
        <v>8</v>
      </c>
      <c r="D9" s="7" t="s">
        <v>178</v>
      </c>
      <c r="E9" s="13" t="s">
        <v>179</v>
      </c>
      <c r="F9" s="13" t="s">
        <v>180</v>
      </c>
      <c r="G9" s="14" t="s">
        <v>162</v>
      </c>
      <c r="H9" s="14"/>
    </row>
    <row r="10" customFormat="false" ht="15" hidden="false" customHeight="false" outlineLevel="0" collapsed="false">
      <c r="A10" s="13" t="s">
        <v>181</v>
      </c>
      <c r="B10" s="13" t="s">
        <v>30</v>
      </c>
      <c r="C10" s="13" t="n">
        <v>9</v>
      </c>
      <c r="D10" s="7" t="s">
        <v>182</v>
      </c>
      <c r="E10" s="13" t="s">
        <v>183</v>
      </c>
      <c r="F10" s="13" t="s">
        <v>184</v>
      </c>
      <c r="G10" s="14" t="s">
        <v>162</v>
      </c>
      <c r="H10" s="14"/>
    </row>
    <row r="11" customFormat="false" ht="15" hidden="false" customHeight="false" outlineLevel="0" collapsed="false">
      <c r="A11" s="13" t="s">
        <v>185</v>
      </c>
      <c r="B11" s="13" t="s">
        <v>30</v>
      </c>
      <c r="C11" s="13" t="n">
        <v>10</v>
      </c>
      <c r="D11" s="7" t="s">
        <v>186</v>
      </c>
      <c r="E11" s="13" t="s">
        <v>183</v>
      </c>
      <c r="F11" s="13" t="s">
        <v>187</v>
      </c>
      <c r="G11" s="14" t="s">
        <v>162</v>
      </c>
      <c r="H11" s="14"/>
    </row>
    <row r="12" customFormat="false" ht="15" hidden="false" customHeight="false" outlineLevel="0" collapsed="false">
      <c r="A12" s="13" t="s">
        <v>188</v>
      </c>
      <c r="B12" s="13" t="s">
        <v>30</v>
      </c>
      <c r="C12" s="13" t="n">
        <v>11</v>
      </c>
      <c r="D12" s="7" t="s">
        <v>189</v>
      </c>
      <c r="E12" s="13" t="s">
        <v>190</v>
      </c>
      <c r="F12" s="13" t="s">
        <v>191</v>
      </c>
      <c r="G12" s="14" t="s">
        <v>162</v>
      </c>
      <c r="H12" s="14"/>
    </row>
    <row r="13" customFormat="false" ht="15" hidden="false" customHeight="false" outlineLevel="0" collapsed="false">
      <c r="A13" s="13" t="s">
        <v>192</v>
      </c>
      <c r="B13" s="13" t="s">
        <v>30</v>
      </c>
      <c r="C13" s="13" t="n">
        <v>12</v>
      </c>
      <c r="D13" s="7" t="s">
        <v>193</v>
      </c>
      <c r="E13" s="13" t="s">
        <v>190</v>
      </c>
      <c r="F13" s="13" t="s">
        <v>191</v>
      </c>
      <c r="G13" s="14" t="s">
        <v>162</v>
      </c>
      <c r="H13" s="14"/>
    </row>
    <row r="14" customFormat="false" ht="15" hidden="false" customHeight="false" outlineLevel="0" collapsed="false">
      <c r="A14" s="13" t="s">
        <v>194</v>
      </c>
      <c r="B14" s="13" t="s">
        <v>30</v>
      </c>
      <c r="C14" s="13" t="n">
        <v>13</v>
      </c>
      <c r="D14" s="7" t="s">
        <v>195</v>
      </c>
      <c r="E14" s="13" t="s">
        <v>190</v>
      </c>
      <c r="F14" s="13" t="s">
        <v>196</v>
      </c>
      <c r="G14" s="14" t="s">
        <v>162</v>
      </c>
      <c r="H14" s="14"/>
    </row>
    <row r="15" customFormat="false" ht="15" hidden="false" customHeight="false" outlineLevel="0" collapsed="false">
      <c r="A15" s="13" t="s">
        <v>197</v>
      </c>
      <c r="B15" s="13" t="s">
        <v>30</v>
      </c>
      <c r="C15" s="13" t="n">
        <v>14</v>
      </c>
      <c r="D15" s="7" t="s">
        <v>198</v>
      </c>
      <c r="E15" s="13" t="s">
        <v>190</v>
      </c>
      <c r="F15" s="13" t="s">
        <v>199</v>
      </c>
      <c r="G15" s="14" t="s">
        <v>162</v>
      </c>
      <c r="H15" s="14"/>
    </row>
    <row r="16" customFormat="false" ht="15" hidden="false" customHeight="false" outlineLevel="0" collapsed="false">
      <c r="A16" s="13" t="s">
        <v>200</v>
      </c>
      <c r="B16" s="13" t="s">
        <v>30</v>
      </c>
      <c r="C16" s="13" t="n">
        <v>15</v>
      </c>
      <c r="D16" s="7" t="s">
        <v>201</v>
      </c>
      <c r="E16" s="13" t="s">
        <v>190</v>
      </c>
      <c r="F16" s="13" t="s">
        <v>199</v>
      </c>
      <c r="G16" s="14" t="s">
        <v>162</v>
      </c>
      <c r="H16" s="14"/>
    </row>
    <row r="17" customFormat="false" ht="15" hidden="false" customHeight="false" outlineLevel="0" collapsed="false">
      <c r="A17" s="13" t="s">
        <v>202</v>
      </c>
      <c r="B17" s="13" t="s">
        <v>30</v>
      </c>
      <c r="C17" s="13" t="n">
        <v>16</v>
      </c>
      <c r="D17" s="7" t="s">
        <v>203</v>
      </c>
      <c r="E17" s="13" t="s">
        <v>190</v>
      </c>
      <c r="F17" s="13" t="s">
        <v>199</v>
      </c>
      <c r="G17" s="14" t="s">
        <v>162</v>
      </c>
      <c r="H17" s="14"/>
    </row>
    <row r="18" customFormat="false" ht="15" hidden="false" customHeight="false" outlineLevel="0" collapsed="false">
      <c r="A18" s="13" t="s">
        <v>204</v>
      </c>
      <c r="B18" s="13" t="s">
        <v>30</v>
      </c>
      <c r="C18" s="13" t="n">
        <v>17</v>
      </c>
      <c r="D18" s="7" t="s">
        <v>205</v>
      </c>
      <c r="E18" s="13" t="s">
        <v>179</v>
      </c>
      <c r="F18" s="13" t="s">
        <v>206</v>
      </c>
      <c r="G18" s="14" t="s">
        <v>162</v>
      </c>
      <c r="H18" s="14"/>
    </row>
    <row r="19" customFormat="false" ht="15" hidden="false" customHeight="false" outlineLevel="0" collapsed="false">
      <c r="A19" s="13" t="s">
        <v>207</v>
      </c>
      <c r="B19" s="13" t="s">
        <v>30</v>
      </c>
      <c r="C19" s="13" t="n">
        <v>18</v>
      </c>
      <c r="D19" s="7" t="s">
        <v>208</v>
      </c>
      <c r="E19" s="13" t="s">
        <v>209</v>
      </c>
      <c r="F19" s="13" t="s">
        <v>210</v>
      </c>
      <c r="G19" s="14" t="s">
        <v>162</v>
      </c>
      <c r="H19" s="14"/>
    </row>
    <row r="20" customFormat="false" ht="15" hidden="false" customHeight="false" outlineLevel="0" collapsed="false">
      <c r="A20" s="13" t="s">
        <v>211</v>
      </c>
      <c r="B20" s="13" t="s">
        <v>30</v>
      </c>
      <c r="C20" s="13" t="n">
        <v>19</v>
      </c>
      <c r="D20" s="7" t="s">
        <v>212</v>
      </c>
      <c r="E20" s="13" t="s">
        <v>213</v>
      </c>
      <c r="F20" s="13" t="s">
        <v>214</v>
      </c>
      <c r="G20" s="14" t="s">
        <v>162</v>
      </c>
      <c r="H20" s="14"/>
    </row>
    <row r="21" customFormat="false" ht="15" hidden="false" customHeight="false" outlineLevel="0" collapsed="false">
      <c r="A21" s="8" t="s">
        <v>215</v>
      </c>
      <c r="B21" s="8" t="s">
        <v>37</v>
      </c>
      <c r="C21" s="8" t="n">
        <v>1</v>
      </c>
      <c r="D21" s="7" t="s">
        <v>216</v>
      </c>
      <c r="E21" s="8" t="s">
        <v>217</v>
      </c>
      <c r="F21" s="8" t="s">
        <v>218</v>
      </c>
      <c r="G21" s="14" t="s">
        <v>162</v>
      </c>
      <c r="H21" s="14"/>
    </row>
    <row r="22" customFormat="false" ht="15" hidden="false" customHeight="false" outlineLevel="0" collapsed="false">
      <c r="A22" s="8" t="s">
        <v>219</v>
      </c>
      <c r="B22" s="8" t="s">
        <v>37</v>
      </c>
      <c r="C22" s="8" t="n">
        <v>2</v>
      </c>
      <c r="D22" s="7" t="s">
        <v>220</v>
      </c>
      <c r="E22" s="8" t="s">
        <v>217</v>
      </c>
      <c r="F22" s="8" t="s">
        <v>218</v>
      </c>
      <c r="G22" s="14" t="s">
        <v>162</v>
      </c>
      <c r="H22" s="14"/>
    </row>
    <row r="23" customFormat="false" ht="15" hidden="false" customHeight="false" outlineLevel="0" collapsed="false">
      <c r="A23" s="8" t="s">
        <v>221</v>
      </c>
      <c r="B23" s="8" t="s">
        <v>37</v>
      </c>
      <c r="C23" s="8" t="n">
        <v>3</v>
      </c>
      <c r="D23" s="7" t="s">
        <v>222</v>
      </c>
      <c r="E23" s="8" t="s">
        <v>217</v>
      </c>
      <c r="F23" s="8" t="s">
        <v>218</v>
      </c>
      <c r="G23" s="14" t="s">
        <v>162</v>
      </c>
      <c r="H23" s="14"/>
    </row>
    <row r="24" customFormat="false" ht="15" hidden="false" customHeight="false" outlineLevel="0" collapsed="false">
      <c r="A24" s="8" t="s">
        <v>223</v>
      </c>
      <c r="B24" s="8" t="s">
        <v>37</v>
      </c>
      <c r="C24" s="8" t="n">
        <v>4</v>
      </c>
      <c r="D24" s="7" t="s">
        <v>224</v>
      </c>
      <c r="E24" s="8" t="s">
        <v>225</v>
      </c>
      <c r="F24" s="8" t="s">
        <v>226</v>
      </c>
      <c r="G24" s="14" t="s">
        <v>162</v>
      </c>
      <c r="H24" s="14"/>
    </row>
    <row r="25" customFormat="false" ht="15" hidden="false" customHeight="false" outlineLevel="0" collapsed="false">
      <c r="A25" s="8" t="s">
        <v>227</v>
      </c>
      <c r="B25" s="8" t="s">
        <v>37</v>
      </c>
      <c r="C25" s="8" t="n">
        <v>5</v>
      </c>
      <c r="D25" s="7" t="s">
        <v>228</v>
      </c>
      <c r="E25" s="8" t="s">
        <v>179</v>
      </c>
      <c r="F25" s="8" t="s">
        <v>229</v>
      </c>
      <c r="G25" s="14" t="s">
        <v>162</v>
      </c>
      <c r="H25" s="14"/>
    </row>
    <row r="26" customFormat="false" ht="15" hidden="false" customHeight="false" outlineLevel="0" collapsed="false">
      <c r="A26" s="8" t="s">
        <v>230</v>
      </c>
      <c r="B26" s="8" t="s">
        <v>37</v>
      </c>
      <c r="C26" s="8" t="n">
        <v>6</v>
      </c>
      <c r="D26" s="7" t="s">
        <v>231</v>
      </c>
      <c r="E26" s="8" t="s">
        <v>179</v>
      </c>
      <c r="F26" s="8" t="s">
        <v>232</v>
      </c>
      <c r="G26" s="14" t="s">
        <v>162</v>
      </c>
      <c r="H26" s="14"/>
    </row>
    <row r="27" customFormat="false" ht="15" hidden="false" customHeight="false" outlineLevel="0" collapsed="false">
      <c r="A27" s="8" t="s">
        <v>233</v>
      </c>
      <c r="B27" s="8" t="s">
        <v>37</v>
      </c>
      <c r="C27" s="8" t="n">
        <v>7</v>
      </c>
      <c r="D27" s="7" t="s">
        <v>234</v>
      </c>
      <c r="E27" s="8" t="s">
        <v>235</v>
      </c>
      <c r="F27" s="8" t="s">
        <v>236</v>
      </c>
      <c r="G27" s="14" t="s">
        <v>162</v>
      </c>
      <c r="H27" s="14"/>
    </row>
    <row r="28" customFormat="false" ht="15" hidden="false" customHeight="false" outlineLevel="0" collapsed="false">
      <c r="A28" s="8" t="s">
        <v>237</v>
      </c>
      <c r="B28" s="8" t="s">
        <v>37</v>
      </c>
      <c r="C28" s="8" t="n">
        <v>8</v>
      </c>
      <c r="D28" s="7" t="s">
        <v>238</v>
      </c>
      <c r="E28" s="8" t="s">
        <v>217</v>
      </c>
      <c r="F28" s="8" t="s">
        <v>239</v>
      </c>
      <c r="G28" s="14" t="s">
        <v>162</v>
      </c>
      <c r="H28" s="14"/>
    </row>
    <row r="29" customFormat="false" ht="15" hidden="false" customHeight="false" outlineLevel="0" collapsed="false">
      <c r="A29" s="13" t="s">
        <v>240</v>
      </c>
      <c r="B29" s="13" t="s">
        <v>44</v>
      </c>
      <c r="C29" s="13" t="n">
        <v>1</v>
      </c>
      <c r="D29" s="7" t="s">
        <v>241</v>
      </c>
      <c r="E29" s="13" t="s">
        <v>225</v>
      </c>
      <c r="F29" s="13" t="s">
        <v>242</v>
      </c>
      <c r="G29" s="14" t="s">
        <v>162</v>
      </c>
      <c r="H29" s="14"/>
    </row>
    <row r="30" customFormat="false" ht="15" hidden="false" customHeight="false" outlineLevel="0" collapsed="false">
      <c r="A30" s="13" t="s">
        <v>243</v>
      </c>
      <c r="B30" s="13" t="s">
        <v>44</v>
      </c>
      <c r="C30" s="13" t="n">
        <v>2</v>
      </c>
      <c r="D30" s="7" t="s">
        <v>244</v>
      </c>
      <c r="E30" s="13" t="s">
        <v>225</v>
      </c>
      <c r="F30" s="13" t="s">
        <v>242</v>
      </c>
      <c r="G30" s="14" t="s">
        <v>162</v>
      </c>
      <c r="H30" s="14"/>
    </row>
    <row r="31" customFormat="false" ht="15" hidden="false" customHeight="false" outlineLevel="0" collapsed="false">
      <c r="A31" s="13" t="s">
        <v>245</v>
      </c>
      <c r="B31" s="13" t="s">
        <v>44</v>
      </c>
      <c r="C31" s="13" t="n">
        <v>3</v>
      </c>
      <c r="D31" s="7" t="s">
        <v>246</v>
      </c>
      <c r="E31" s="13" t="s">
        <v>225</v>
      </c>
      <c r="F31" s="13" t="s">
        <v>242</v>
      </c>
      <c r="G31" s="14" t="s">
        <v>162</v>
      </c>
      <c r="H31" s="14"/>
    </row>
    <row r="32" customFormat="false" ht="15" hidden="false" customHeight="false" outlineLevel="0" collapsed="false">
      <c r="A32" s="8" t="s">
        <v>247</v>
      </c>
      <c r="B32" s="8" t="s">
        <v>50</v>
      </c>
      <c r="C32" s="8" t="n">
        <v>1</v>
      </c>
      <c r="D32" s="7" t="s">
        <v>248</v>
      </c>
      <c r="E32" s="8" t="s">
        <v>225</v>
      </c>
      <c r="F32" s="8" t="s">
        <v>242</v>
      </c>
      <c r="G32" s="14" t="s">
        <v>162</v>
      </c>
      <c r="H32" s="14"/>
    </row>
    <row r="33" customFormat="false" ht="15" hidden="false" customHeight="false" outlineLevel="0" collapsed="false">
      <c r="A33" s="8" t="s">
        <v>249</v>
      </c>
      <c r="B33" s="8" t="s">
        <v>50</v>
      </c>
      <c r="C33" s="8" t="n">
        <v>2</v>
      </c>
      <c r="D33" s="7" t="s">
        <v>250</v>
      </c>
      <c r="E33" s="8" t="s">
        <v>225</v>
      </c>
      <c r="F33" s="8" t="s">
        <v>242</v>
      </c>
      <c r="G33" s="14" t="s">
        <v>162</v>
      </c>
      <c r="H33" s="14"/>
    </row>
    <row r="34" customFormat="false" ht="15" hidden="false" customHeight="false" outlineLevel="0" collapsed="false">
      <c r="A34" s="8" t="s">
        <v>251</v>
      </c>
      <c r="B34" s="8" t="s">
        <v>50</v>
      </c>
      <c r="C34" s="8" t="n">
        <v>3</v>
      </c>
      <c r="D34" s="7" t="s">
        <v>252</v>
      </c>
      <c r="E34" s="8" t="s">
        <v>225</v>
      </c>
      <c r="F34" s="8" t="s">
        <v>242</v>
      </c>
      <c r="G34" s="14" t="s">
        <v>162</v>
      </c>
      <c r="H34" s="14"/>
    </row>
    <row r="35" customFormat="false" ht="15" hidden="false" customHeight="false" outlineLevel="0" collapsed="false">
      <c r="A35" s="13" t="s">
        <v>253</v>
      </c>
      <c r="B35" s="13" t="s">
        <v>55</v>
      </c>
      <c r="C35" s="13" t="n">
        <v>1</v>
      </c>
      <c r="D35" s="7" t="s">
        <v>254</v>
      </c>
      <c r="E35" s="13" t="s">
        <v>225</v>
      </c>
      <c r="F35" s="13" t="s">
        <v>242</v>
      </c>
      <c r="G35" s="14" t="s">
        <v>162</v>
      </c>
      <c r="H35" s="14"/>
    </row>
    <row r="36" customFormat="false" ht="15" hidden="false" customHeight="false" outlineLevel="0" collapsed="false">
      <c r="A36" s="13" t="s">
        <v>255</v>
      </c>
      <c r="B36" s="13" t="s">
        <v>55</v>
      </c>
      <c r="C36" s="13" t="n">
        <v>2</v>
      </c>
      <c r="D36" s="7" t="s">
        <v>256</v>
      </c>
      <c r="E36" s="13" t="s">
        <v>225</v>
      </c>
      <c r="F36" s="13" t="s">
        <v>242</v>
      </c>
      <c r="G36" s="14" t="s">
        <v>162</v>
      </c>
      <c r="H36" s="14"/>
    </row>
    <row r="37" customFormat="false" ht="15" hidden="false" customHeight="false" outlineLevel="0" collapsed="false">
      <c r="A37" s="13" t="s">
        <v>257</v>
      </c>
      <c r="B37" s="13" t="s">
        <v>55</v>
      </c>
      <c r="C37" s="13" t="n">
        <v>3</v>
      </c>
      <c r="D37" s="7" t="s">
        <v>258</v>
      </c>
      <c r="E37" s="13" t="s">
        <v>259</v>
      </c>
      <c r="F37" s="13" t="s">
        <v>260</v>
      </c>
      <c r="G37" s="14" t="s">
        <v>162</v>
      </c>
      <c r="H37" s="14"/>
    </row>
    <row r="38" customFormat="false" ht="15" hidden="false" customHeight="false" outlineLevel="0" collapsed="false">
      <c r="A38" s="8" t="s">
        <v>261</v>
      </c>
      <c r="B38" s="8" t="s">
        <v>60</v>
      </c>
      <c r="C38" s="8" t="n">
        <v>1</v>
      </c>
      <c r="D38" s="7" t="s">
        <v>262</v>
      </c>
      <c r="E38" s="8" t="s">
        <v>225</v>
      </c>
      <c r="F38" s="8" t="s">
        <v>242</v>
      </c>
      <c r="G38" s="14" t="s">
        <v>162</v>
      </c>
      <c r="H38" s="14"/>
    </row>
    <row r="39" customFormat="false" ht="15" hidden="false" customHeight="false" outlineLevel="0" collapsed="false">
      <c r="A39" s="8" t="s">
        <v>263</v>
      </c>
      <c r="B39" s="8" t="s">
        <v>60</v>
      </c>
      <c r="C39" s="8" t="n">
        <v>2</v>
      </c>
      <c r="D39" s="7" t="s">
        <v>264</v>
      </c>
      <c r="E39" s="8" t="s">
        <v>225</v>
      </c>
      <c r="F39" s="8" t="s">
        <v>242</v>
      </c>
      <c r="G39" s="14" t="s">
        <v>162</v>
      </c>
      <c r="H39" s="14"/>
    </row>
    <row r="40" customFormat="false" ht="15" hidden="false" customHeight="false" outlineLevel="0" collapsed="false">
      <c r="A40" s="13" t="s">
        <v>265</v>
      </c>
      <c r="B40" s="13" t="s">
        <v>65</v>
      </c>
      <c r="C40" s="13" t="n">
        <v>1</v>
      </c>
      <c r="D40" s="7" t="s">
        <v>266</v>
      </c>
      <c r="E40" s="13" t="s">
        <v>225</v>
      </c>
      <c r="F40" s="13" t="s">
        <v>242</v>
      </c>
      <c r="G40" s="14" t="s">
        <v>162</v>
      </c>
      <c r="H40" s="14"/>
    </row>
    <row r="41" customFormat="false" ht="15" hidden="false" customHeight="false" outlineLevel="0" collapsed="false">
      <c r="A41" s="13" t="s">
        <v>267</v>
      </c>
      <c r="B41" s="13" t="s">
        <v>65</v>
      </c>
      <c r="C41" s="13" t="n">
        <v>2</v>
      </c>
      <c r="D41" s="7" t="s">
        <v>268</v>
      </c>
      <c r="E41" s="13" t="s">
        <v>225</v>
      </c>
      <c r="F41" s="13" t="s">
        <v>242</v>
      </c>
      <c r="G41" s="14" t="s">
        <v>162</v>
      </c>
      <c r="H41" s="14"/>
    </row>
    <row r="42" customFormat="false" ht="15" hidden="false" customHeight="false" outlineLevel="0" collapsed="false">
      <c r="A42" s="13" t="s">
        <v>269</v>
      </c>
      <c r="B42" s="13" t="s">
        <v>65</v>
      </c>
      <c r="C42" s="13" t="n">
        <v>3</v>
      </c>
      <c r="D42" s="7" t="s">
        <v>270</v>
      </c>
      <c r="E42" s="13" t="s">
        <v>259</v>
      </c>
      <c r="F42" s="13" t="s">
        <v>271</v>
      </c>
      <c r="G42" s="14" t="s">
        <v>162</v>
      </c>
      <c r="H42" s="14"/>
    </row>
    <row r="43" customFormat="false" ht="15" hidden="false" customHeight="false" outlineLevel="0" collapsed="false">
      <c r="A43" s="8" t="s">
        <v>272</v>
      </c>
      <c r="B43" s="8" t="s">
        <v>71</v>
      </c>
      <c r="C43" s="8" t="n">
        <v>1</v>
      </c>
      <c r="D43" s="7" t="s">
        <v>273</v>
      </c>
      <c r="E43" s="8" t="s">
        <v>209</v>
      </c>
      <c r="F43" s="8" t="s">
        <v>274</v>
      </c>
      <c r="G43" s="14" t="s">
        <v>162</v>
      </c>
      <c r="H43" s="14"/>
    </row>
    <row r="44" customFormat="false" ht="15" hidden="false" customHeight="false" outlineLevel="0" collapsed="false">
      <c r="A44" s="8" t="s">
        <v>275</v>
      </c>
      <c r="B44" s="8" t="s">
        <v>71</v>
      </c>
      <c r="C44" s="8" t="n">
        <v>2</v>
      </c>
      <c r="D44" s="7" t="s">
        <v>276</v>
      </c>
      <c r="E44" s="8" t="s">
        <v>209</v>
      </c>
      <c r="F44" s="8" t="s">
        <v>277</v>
      </c>
      <c r="G44" s="14" t="s">
        <v>162</v>
      </c>
      <c r="H44" s="14"/>
    </row>
    <row r="45" customFormat="false" ht="15" hidden="false" customHeight="false" outlineLevel="0" collapsed="false">
      <c r="A45" s="8" t="s">
        <v>278</v>
      </c>
      <c r="B45" s="8" t="s">
        <v>71</v>
      </c>
      <c r="C45" s="8" t="n">
        <v>3</v>
      </c>
      <c r="D45" s="7" t="s">
        <v>279</v>
      </c>
      <c r="E45" s="8" t="s">
        <v>209</v>
      </c>
      <c r="F45" s="8" t="s">
        <v>280</v>
      </c>
      <c r="G45" s="14" t="s">
        <v>162</v>
      </c>
      <c r="H45" s="14"/>
    </row>
    <row r="46" customFormat="false" ht="15" hidden="false" customHeight="false" outlineLevel="0" collapsed="false">
      <c r="A46" s="8" t="s">
        <v>281</v>
      </c>
      <c r="B46" s="8" t="s">
        <v>71</v>
      </c>
      <c r="C46" s="8" t="n">
        <v>4</v>
      </c>
      <c r="D46" s="7" t="s">
        <v>282</v>
      </c>
      <c r="E46" s="8" t="s">
        <v>235</v>
      </c>
      <c r="F46" s="8" t="s">
        <v>283</v>
      </c>
      <c r="G46" s="14" t="s">
        <v>162</v>
      </c>
      <c r="H46" s="14"/>
    </row>
    <row r="47" customFormat="false" ht="15" hidden="false" customHeight="false" outlineLevel="0" collapsed="false">
      <c r="A47" s="8" t="s">
        <v>284</v>
      </c>
      <c r="B47" s="8" t="s">
        <v>71</v>
      </c>
      <c r="C47" s="8" t="n">
        <v>5</v>
      </c>
      <c r="D47" s="7" t="s">
        <v>285</v>
      </c>
      <c r="E47" s="8" t="s">
        <v>286</v>
      </c>
      <c r="F47" s="8" t="s">
        <v>287</v>
      </c>
      <c r="G47" s="14" t="s">
        <v>162</v>
      </c>
      <c r="H47" s="14"/>
    </row>
    <row r="48" customFormat="false" ht="15" hidden="false" customHeight="false" outlineLevel="0" collapsed="false">
      <c r="A48" s="8" t="s">
        <v>288</v>
      </c>
      <c r="B48" s="8" t="s">
        <v>71</v>
      </c>
      <c r="C48" s="8" t="n">
        <v>6</v>
      </c>
      <c r="D48" s="7" t="s">
        <v>289</v>
      </c>
      <c r="E48" s="8" t="s">
        <v>179</v>
      </c>
      <c r="F48" s="8" t="s">
        <v>290</v>
      </c>
      <c r="G48" s="14" t="s">
        <v>162</v>
      </c>
      <c r="H48" s="14"/>
    </row>
    <row r="49" customFormat="false" ht="15" hidden="false" customHeight="false" outlineLevel="0" collapsed="false">
      <c r="A49" s="13" t="s">
        <v>291</v>
      </c>
      <c r="B49" s="13" t="s">
        <v>78</v>
      </c>
      <c r="C49" s="13" t="n">
        <v>1</v>
      </c>
      <c r="D49" s="7" t="s">
        <v>292</v>
      </c>
      <c r="E49" s="13" t="s">
        <v>225</v>
      </c>
      <c r="F49" s="13" t="s">
        <v>242</v>
      </c>
      <c r="G49" s="14" t="s">
        <v>162</v>
      </c>
      <c r="H49" s="14"/>
    </row>
    <row r="50" customFormat="false" ht="15" hidden="false" customHeight="false" outlineLevel="0" collapsed="false">
      <c r="A50" s="13" t="s">
        <v>293</v>
      </c>
      <c r="B50" s="13" t="s">
        <v>78</v>
      </c>
      <c r="C50" s="13" t="n">
        <v>2</v>
      </c>
      <c r="D50" s="7" t="s">
        <v>294</v>
      </c>
      <c r="E50" s="13" t="s">
        <v>225</v>
      </c>
      <c r="F50" s="13" t="s">
        <v>242</v>
      </c>
      <c r="G50" s="14" t="s">
        <v>162</v>
      </c>
      <c r="H50" s="14"/>
    </row>
    <row r="51" customFormat="false" ht="15" hidden="false" customHeight="false" outlineLevel="0" collapsed="false">
      <c r="A51" s="8" t="s">
        <v>295</v>
      </c>
      <c r="B51" s="8" t="s">
        <v>83</v>
      </c>
      <c r="C51" s="8" t="n">
        <v>1</v>
      </c>
      <c r="D51" s="7" t="s">
        <v>296</v>
      </c>
      <c r="E51" s="8" t="s">
        <v>217</v>
      </c>
      <c r="F51" s="8" t="s">
        <v>297</v>
      </c>
      <c r="G51" s="14" t="s">
        <v>162</v>
      </c>
      <c r="H51" s="14"/>
    </row>
    <row r="52" customFormat="false" ht="26.85" hidden="false" customHeight="false" outlineLevel="0" collapsed="false">
      <c r="A52" s="8" t="s">
        <v>298</v>
      </c>
      <c r="B52" s="8" t="s">
        <v>83</v>
      </c>
      <c r="C52" s="8" t="n">
        <v>2</v>
      </c>
      <c r="D52" s="7" t="s">
        <v>299</v>
      </c>
      <c r="E52" s="8" t="s">
        <v>217</v>
      </c>
      <c r="F52" s="8" t="s">
        <v>297</v>
      </c>
      <c r="G52" s="14" t="s">
        <v>162</v>
      </c>
      <c r="H52" s="14"/>
    </row>
    <row r="53" customFormat="false" ht="26.85" hidden="false" customHeight="false" outlineLevel="0" collapsed="false">
      <c r="A53" s="8" t="s">
        <v>300</v>
      </c>
      <c r="B53" s="8" t="s">
        <v>83</v>
      </c>
      <c r="C53" s="8" t="n">
        <v>3</v>
      </c>
      <c r="D53" s="7" t="s">
        <v>301</v>
      </c>
      <c r="E53" s="8" t="s">
        <v>217</v>
      </c>
      <c r="F53" s="8" t="s">
        <v>297</v>
      </c>
      <c r="G53" s="14" t="s">
        <v>162</v>
      </c>
      <c r="H53" s="14"/>
    </row>
    <row r="54" customFormat="false" ht="15" hidden="false" customHeight="false" outlineLevel="0" collapsed="false">
      <c r="A54" s="8" t="s">
        <v>302</v>
      </c>
      <c r="B54" s="8" t="s">
        <v>83</v>
      </c>
      <c r="C54" s="8" t="n">
        <v>4</v>
      </c>
      <c r="D54" s="7" t="s">
        <v>303</v>
      </c>
      <c r="E54" s="8" t="s">
        <v>217</v>
      </c>
      <c r="F54" s="8" t="s">
        <v>297</v>
      </c>
      <c r="G54" s="14" t="s">
        <v>162</v>
      </c>
      <c r="H54" s="14"/>
    </row>
    <row r="55" customFormat="false" ht="15" hidden="false" customHeight="false" outlineLevel="0" collapsed="false">
      <c r="A55" s="8" t="s">
        <v>304</v>
      </c>
      <c r="B55" s="8" t="s">
        <v>83</v>
      </c>
      <c r="C55" s="8" t="n">
        <v>5</v>
      </c>
      <c r="D55" s="7" t="s">
        <v>305</v>
      </c>
      <c r="E55" s="8" t="s">
        <v>225</v>
      </c>
      <c r="F55" s="8" t="s">
        <v>242</v>
      </c>
      <c r="G55" s="14" t="s">
        <v>162</v>
      </c>
      <c r="H55" s="14"/>
    </row>
    <row r="56" customFormat="false" ht="15" hidden="false" customHeight="false" outlineLevel="0" collapsed="false">
      <c r="A56" s="8" t="s">
        <v>306</v>
      </c>
      <c r="B56" s="8" t="s">
        <v>83</v>
      </c>
      <c r="C56" s="8" t="n">
        <v>6</v>
      </c>
      <c r="D56" s="7" t="s">
        <v>307</v>
      </c>
      <c r="E56" s="8" t="s">
        <v>225</v>
      </c>
      <c r="F56" s="8" t="s">
        <v>242</v>
      </c>
      <c r="G56" s="14" t="s">
        <v>162</v>
      </c>
      <c r="H56" s="14"/>
    </row>
    <row r="57" customFormat="false" ht="15" hidden="false" customHeight="false" outlineLevel="0" collapsed="false">
      <c r="A57" s="13" t="s">
        <v>308</v>
      </c>
      <c r="B57" s="13" t="s">
        <v>89</v>
      </c>
      <c r="C57" s="13" t="n">
        <v>1</v>
      </c>
      <c r="D57" s="7" t="s">
        <v>309</v>
      </c>
      <c r="E57" s="13" t="s">
        <v>225</v>
      </c>
      <c r="F57" s="13" t="s">
        <v>242</v>
      </c>
      <c r="G57" s="14" t="s">
        <v>162</v>
      </c>
      <c r="H57" s="14"/>
    </row>
    <row r="58" customFormat="false" ht="15" hidden="false" customHeight="false" outlineLevel="0" collapsed="false">
      <c r="A58" s="13" t="s">
        <v>310</v>
      </c>
      <c r="B58" s="13" t="s">
        <v>89</v>
      </c>
      <c r="C58" s="13" t="n">
        <v>2</v>
      </c>
      <c r="D58" s="7" t="s">
        <v>311</v>
      </c>
      <c r="E58" s="13" t="s">
        <v>225</v>
      </c>
      <c r="F58" s="13" t="s">
        <v>242</v>
      </c>
      <c r="G58" s="14" t="s">
        <v>162</v>
      </c>
      <c r="H58" s="14"/>
    </row>
    <row r="59" customFormat="false" ht="15" hidden="false" customHeight="false" outlineLevel="0" collapsed="false">
      <c r="A59" s="13" t="s">
        <v>312</v>
      </c>
      <c r="B59" s="13" t="s">
        <v>89</v>
      </c>
      <c r="C59" s="13" t="n">
        <v>3</v>
      </c>
      <c r="D59" s="7" t="s">
        <v>258</v>
      </c>
      <c r="E59" s="13" t="s">
        <v>259</v>
      </c>
      <c r="F59" s="13" t="s">
        <v>260</v>
      </c>
      <c r="G59" s="14" t="s">
        <v>162</v>
      </c>
      <c r="H59" s="14"/>
    </row>
    <row r="60" customFormat="false" ht="15" hidden="false" customHeight="false" outlineLevel="0" collapsed="false">
      <c r="A60" s="8" t="s">
        <v>313</v>
      </c>
      <c r="B60" s="8" t="s">
        <v>94</v>
      </c>
      <c r="C60" s="8" t="n">
        <v>1</v>
      </c>
      <c r="D60" s="7" t="s">
        <v>314</v>
      </c>
      <c r="E60" s="8" t="s">
        <v>235</v>
      </c>
      <c r="F60" s="8" t="s">
        <v>315</v>
      </c>
      <c r="G60" s="14" t="s">
        <v>162</v>
      </c>
      <c r="H60" s="14"/>
    </row>
    <row r="61" customFormat="false" ht="15" hidden="false" customHeight="false" outlineLevel="0" collapsed="false">
      <c r="A61" s="8" t="s">
        <v>316</v>
      </c>
      <c r="B61" s="8" t="s">
        <v>94</v>
      </c>
      <c r="C61" s="8" t="n">
        <v>2</v>
      </c>
      <c r="D61" s="7" t="s">
        <v>317</v>
      </c>
      <c r="E61" s="8" t="s">
        <v>225</v>
      </c>
      <c r="F61" s="8" t="s">
        <v>242</v>
      </c>
      <c r="G61" s="14" t="s">
        <v>162</v>
      </c>
      <c r="H61" s="14"/>
    </row>
    <row r="62" customFormat="false" ht="15" hidden="false" customHeight="false" outlineLevel="0" collapsed="false">
      <c r="A62" s="8" t="s">
        <v>318</v>
      </c>
      <c r="B62" s="8" t="s">
        <v>94</v>
      </c>
      <c r="C62" s="8" t="n">
        <v>3</v>
      </c>
      <c r="D62" s="7" t="s">
        <v>319</v>
      </c>
      <c r="E62" s="8" t="s">
        <v>225</v>
      </c>
      <c r="F62" s="8" t="s">
        <v>242</v>
      </c>
      <c r="G62" s="14" t="s">
        <v>162</v>
      </c>
      <c r="H62" s="14"/>
    </row>
    <row r="63" customFormat="false" ht="15" hidden="false" customHeight="false" outlineLevel="0" collapsed="false">
      <c r="A63" s="13" t="s">
        <v>320</v>
      </c>
      <c r="B63" s="13" t="s">
        <v>100</v>
      </c>
      <c r="C63" s="13" t="n">
        <v>1</v>
      </c>
      <c r="D63" s="7" t="s">
        <v>321</v>
      </c>
      <c r="E63" s="13" t="s">
        <v>225</v>
      </c>
      <c r="F63" s="13" t="s">
        <v>242</v>
      </c>
      <c r="G63" s="14" t="s">
        <v>162</v>
      </c>
      <c r="H63" s="14"/>
    </row>
    <row r="64" customFormat="false" ht="15" hidden="false" customHeight="false" outlineLevel="0" collapsed="false">
      <c r="A64" s="13" t="s">
        <v>322</v>
      </c>
      <c r="B64" s="13" t="s">
        <v>100</v>
      </c>
      <c r="C64" s="13" t="n">
        <v>2</v>
      </c>
      <c r="D64" s="7" t="s">
        <v>323</v>
      </c>
      <c r="E64" s="13" t="s">
        <v>225</v>
      </c>
      <c r="F64" s="13" t="s">
        <v>242</v>
      </c>
      <c r="G64" s="14" t="s">
        <v>162</v>
      </c>
      <c r="H64" s="14"/>
    </row>
    <row r="65" customFormat="false" ht="15" hidden="false" customHeight="false" outlineLevel="0" collapsed="false">
      <c r="A65" s="13" t="s">
        <v>324</v>
      </c>
      <c r="B65" s="13" t="s">
        <v>100</v>
      </c>
      <c r="C65" s="13" t="n">
        <v>3</v>
      </c>
      <c r="D65" s="7" t="s">
        <v>325</v>
      </c>
      <c r="E65" s="13" t="s">
        <v>259</v>
      </c>
      <c r="F65" s="13" t="s">
        <v>326</v>
      </c>
      <c r="G65" s="14" t="s">
        <v>162</v>
      </c>
      <c r="H65" s="14"/>
    </row>
    <row r="66" customFormat="false" ht="15" hidden="false" customHeight="false" outlineLevel="0" collapsed="false">
      <c r="A66" s="8" t="s">
        <v>327</v>
      </c>
      <c r="B66" s="8" t="s">
        <v>105</v>
      </c>
      <c r="C66" s="8" t="n">
        <v>1</v>
      </c>
      <c r="D66" s="7" t="s">
        <v>328</v>
      </c>
      <c r="E66" s="8" t="s">
        <v>225</v>
      </c>
      <c r="F66" s="8" t="s">
        <v>242</v>
      </c>
      <c r="G66" s="14" t="s">
        <v>162</v>
      </c>
      <c r="H66" s="14"/>
    </row>
    <row r="67" customFormat="false" ht="15" hidden="false" customHeight="false" outlineLevel="0" collapsed="false">
      <c r="A67" s="8" t="s">
        <v>329</v>
      </c>
      <c r="B67" s="8" t="s">
        <v>105</v>
      </c>
      <c r="C67" s="8" t="n">
        <v>2</v>
      </c>
      <c r="D67" s="7" t="s">
        <v>330</v>
      </c>
      <c r="E67" s="8" t="s">
        <v>225</v>
      </c>
      <c r="F67" s="8" t="s">
        <v>242</v>
      </c>
      <c r="G67" s="14" t="s">
        <v>162</v>
      </c>
      <c r="H67" s="14"/>
    </row>
    <row r="68" customFormat="false" ht="15" hidden="false" customHeight="false" outlineLevel="0" collapsed="false">
      <c r="A68" s="13" t="s">
        <v>331</v>
      </c>
      <c r="B68" s="13" t="s">
        <v>111</v>
      </c>
      <c r="C68" s="13" t="n">
        <v>1</v>
      </c>
      <c r="D68" s="7" t="s">
        <v>332</v>
      </c>
      <c r="E68" s="13" t="s">
        <v>217</v>
      </c>
      <c r="F68" s="13" t="s">
        <v>333</v>
      </c>
      <c r="G68" s="14" t="s">
        <v>162</v>
      </c>
      <c r="H68" s="14"/>
    </row>
    <row r="69" customFormat="false" ht="15" hidden="false" customHeight="false" outlineLevel="0" collapsed="false">
      <c r="A69" s="13" t="s">
        <v>334</v>
      </c>
      <c r="B69" s="13" t="s">
        <v>111</v>
      </c>
      <c r="C69" s="13" t="n">
        <v>2</v>
      </c>
      <c r="D69" s="7" t="s">
        <v>335</v>
      </c>
      <c r="E69" s="13" t="s">
        <v>217</v>
      </c>
      <c r="F69" s="13" t="s">
        <v>333</v>
      </c>
      <c r="G69" s="14" t="s">
        <v>162</v>
      </c>
      <c r="H69" s="14"/>
    </row>
    <row r="70" customFormat="false" ht="15" hidden="false" customHeight="false" outlineLevel="0" collapsed="false">
      <c r="A70" s="13" t="s">
        <v>336</v>
      </c>
      <c r="B70" s="13" t="s">
        <v>111</v>
      </c>
      <c r="C70" s="13" t="n">
        <v>3</v>
      </c>
      <c r="D70" s="7" t="s">
        <v>337</v>
      </c>
      <c r="E70" s="13" t="s">
        <v>225</v>
      </c>
      <c r="F70" s="13" t="s">
        <v>226</v>
      </c>
      <c r="G70" s="14" t="s">
        <v>162</v>
      </c>
      <c r="H70" s="14"/>
    </row>
    <row r="71" customFormat="false" ht="15" hidden="false" customHeight="false" outlineLevel="0" collapsed="false">
      <c r="A71" s="13" t="s">
        <v>338</v>
      </c>
      <c r="B71" s="13" t="s">
        <v>111</v>
      </c>
      <c r="C71" s="13" t="n">
        <v>4</v>
      </c>
      <c r="D71" s="7" t="s">
        <v>339</v>
      </c>
      <c r="E71" s="13" t="s">
        <v>179</v>
      </c>
      <c r="F71" s="13" t="s">
        <v>229</v>
      </c>
      <c r="G71" s="14" t="s">
        <v>162</v>
      </c>
      <c r="H71" s="14"/>
    </row>
    <row r="72" customFormat="false" ht="15" hidden="false" customHeight="false" outlineLevel="0" collapsed="false">
      <c r="A72" s="13" t="s">
        <v>340</v>
      </c>
      <c r="B72" s="13" t="s">
        <v>111</v>
      </c>
      <c r="C72" s="13" t="n">
        <v>5</v>
      </c>
      <c r="D72" s="7" t="s">
        <v>341</v>
      </c>
      <c r="E72" s="13" t="s">
        <v>235</v>
      </c>
      <c r="F72" s="13" t="s">
        <v>342</v>
      </c>
      <c r="G72" s="14" t="s">
        <v>162</v>
      </c>
      <c r="H72" s="14"/>
    </row>
    <row r="73" customFormat="false" ht="15" hidden="false" customHeight="false" outlineLevel="0" collapsed="false">
      <c r="A73" s="13" t="s">
        <v>343</v>
      </c>
      <c r="B73" s="13" t="s">
        <v>111</v>
      </c>
      <c r="C73" s="13" t="n">
        <v>6</v>
      </c>
      <c r="D73" s="7" t="s">
        <v>344</v>
      </c>
      <c r="E73" s="13" t="s">
        <v>217</v>
      </c>
      <c r="F73" s="13" t="s">
        <v>345</v>
      </c>
      <c r="G73" s="14" t="s">
        <v>162</v>
      </c>
      <c r="H73" s="14"/>
    </row>
    <row r="74" customFormat="false" ht="15" hidden="false" customHeight="false" outlineLevel="0" collapsed="false">
      <c r="A74" s="8" t="s">
        <v>346</v>
      </c>
      <c r="B74" s="8" t="s">
        <v>117</v>
      </c>
      <c r="C74" s="8" t="n">
        <v>1</v>
      </c>
      <c r="D74" s="7" t="s">
        <v>347</v>
      </c>
      <c r="E74" s="8" t="s">
        <v>225</v>
      </c>
      <c r="F74" s="8" t="s">
        <v>242</v>
      </c>
      <c r="G74" s="14" t="s">
        <v>162</v>
      </c>
      <c r="H74" s="14"/>
    </row>
    <row r="75" customFormat="false" ht="15" hidden="false" customHeight="false" outlineLevel="0" collapsed="false">
      <c r="A75" s="8" t="s">
        <v>348</v>
      </c>
      <c r="B75" s="8" t="s">
        <v>117</v>
      </c>
      <c r="C75" s="8" t="n">
        <v>2</v>
      </c>
      <c r="D75" s="7" t="s">
        <v>349</v>
      </c>
      <c r="E75" s="8" t="s">
        <v>225</v>
      </c>
      <c r="F75" s="8" t="s">
        <v>242</v>
      </c>
      <c r="G75" s="14" t="s">
        <v>162</v>
      </c>
      <c r="H75" s="14"/>
    </row>
    <row r="76" customFormat="false" ht="15" hidden="false" customHeight="false" outlineLevel="0" collapsed="false">
      <c r="A76" s="8" t="s">
        <v>350</v>
      </c>
      <c r="B76" s="8" t="s">
        <v>117</v>
      </c>
      <c r="C76" s="8" t="n">
        <v>3</v>
      </c>
      <c r="D76" s="7" t="s">
        <v>351</v>
      </c>
      <c r="E76" s="8" t="s">
        <v>217</v>
      </c>
      <c r="F76" s="8" t="s">
        <v>352</v>
      </c>
      <c r="G76" s="14" t="s">
        <v>162</v>
      </c>
      <c r="H76" s="14"/>
    </row>
    <row r="77" customFormat="false" ht="15" hidden="false" customHeight="false" outlineLevel="0" collapsed="false">
      <c r="A77" s="8" t="s">
        <v>353</v>
      </c>
      <c r="B77" s="8" t="s">
        <v>117</v>
      </c>
      <c r="C77" s="8" t="n">
        <v>4</v>
      </c>
      <c r="D77" s="7" t="s">
        <v>354</v>
      </c>
      <c r="E77" s="8" t="s">
        <v>235</v>
      </c>
      <c r="F77" s="8" t="s">
        <v>355</v>
      </c>
      <c r="G77" s="14" t="s">
        <v>162</v>
      </c>
      <c r="H77" s="14"/>
    </row>
    <row r="78" customFormat="false" ht="15" hidden="false" customHeight="false" outlineLevel="0" collapsed="false">
      <c r="A78" s="13" t="s">
        <v>356</v>
      </c>
      <c r="B78" s="13" t="s">
        <v>122</v>
      </c>
      <c r="C78" s="13" t="n">
        <v>1</v>
      </c>
      <c r="D78" s="7" t="s">
        <v>357</v>
      </c>
      <c r="E78" s="13" t="s">
        <v>225</v>
      </c>
      <c r="F78" s="13" t="s">
        <v>242</v>
      </c>
      <c r="G78" s="14" t="s">
        <v>162</v>
      </c>
      <c r="H78" s="14"/>
    </row>
    <row r="79" customFormat="false" ht="15" hidden="false" customHeight="false" outlineLevel="0" collapsed="false">
      <c r="A79" s="13" t="s">
        <v>358</v>
      </c>
      <c r="B79" s="13" t="s">
        <v>122</v>
      </c>
      <c r="C79" s="13" t="n">
        <v>2</v>
      </c>
      <c r="D79" s="7" t="s">
        <v>359</v>
      </c>
      <c r="E79" s="13" t="s">
        <v>225</v>
      </c>
      <c r="F79" s="13" t="s">
        <v>242</v>
      </c>
      <c r="G79" s="14" t="s">
        <v>162</v>
      </c>
      <c r="H79" s="14"/>
    </row>
    <row r="80" customFormat="false" ht="15" hidden="false" customHeight="false" outlineLevel="0" collapsed="false">
      <c r="A80" s="13" t="s">
        <v>360</v>
      </c>
      <c r="B80" s="13" t="s">
        <v>122</v>
      </c>
      <c r="C80" s="13" t="n">
        <v>3</v>
      </c>
      <c r="D80" s="7" t="s">
        <v>361</v>
      </c>
      <c r="E80" s="13" t="s">
        <v>259</v>
      </c>
      <c r="F80" s="13" t="s">
        <v>362</v>
      </c>
      <c r="G80" s="14" t="s">
        <v>162</v>
      </c>
      <c r="H80" s="14"/>
    </row>
    <row r="81" customFormat="false" ht="15" hidden="false" customHeight="false" outlineLevel="0" collapsed="false">
      <c r="A81" s="8" t="s">
        <v>363</v>
      </c>
      <c r="B81" s="8" t="s">
        <v>127</v>
      </c>
      <c r="C81" s="8" t="n">
        <v>1</v>
      </c>
      <c r="D81" s="7" t="s">
        <v>364</v>
      </c>
      <c r="E81" s="8" t="s">
        <v>225</v>
      </c>
      <c r="F81" s="8" t="s">
        <v>242</v>
      </c>
      <c r="G81" s="14" t="s">
        <v>162</v>
      </c>
      <c r="H81" s="14"/>
    </row>
    <row r="82" customFormat="false" ht="15" hidden="false" customHeight="false" outlineLevel="0" collapsed="false">
      <c r="A82" s="8" t="s">
        <v>365</v>
      </c>
      <c r="B82" s="8" t="s">
        <v>127</v>
      </c>
      <c r="C82" s="8" t="n">
        <v>2</v>
      </c>
      <c r="D82" s="7" t="s">
        <v>366</v>
      </c>
      <c r="E82" s="8" t="s">
        <v>225</v>
      </c>
      <c r="F82" s="8" t="s">
        <v>242</v>
      </c>
      <c r="G82" s="14" t="s">
        <v>162</v>
      </c>
      <c r="H82" s="14"/>
    </row>
    <row r="83" customFormat="false" ht="15" hidden="false" customHeight="false" outlineLevel="0" collapsed="false">
      <c r="A83" s="13" t="s">
        <v>367</v>
      </c>
      <c r="B83" s="13" t="s">
        <v>132</v>
      </c>
      <c r="C83" s="13" t="n">
        <v>1</v>
      </c>
      <c r="D83" s="7" t="s">
        <v>368</v>
      </c>
      <c r="E83" s="13" t="s">
        <v>225</v>
      </c>
      <c r="F83" s="13" t="s">
        <v>242</v>
      </c>
      <c r="G83" s="14" t="s">
        <v>162</v>
      </c>
      <c r="H83" s="14"/>
    </row>
    <row r="84" customFormat="false" ht="15" hidden="false" customHeight="false" outlineLevel="0" collapsed="false">
      <c r="A84" s="13" t="s">
        <v>369</v>
      </c>
      <c r="B84" s="13" t="s">
        <v>132</v>
      </c>
      <c r="C84" s="13" t="n">
        <v>2</v>
      </c>
      <c r="D84" s="7" t="s">
        <v>370</v>
      </c>
      <c r="E84" s="13" t="s">
        <v>225</v>
      </c>
      <c r="F84" s="13" t="s">
        <v>242</v>
      </c>
      <c r="G84" s="14" t="s">
        <v>162</v>
      </c>
      <c r="H84" s="14"/>
    </row>
    <row r="85" customFormat="false" ht="15" hidden="false" customHeight="false" outlineLevel="0" collapsed="false">
      <c r="A85" s="13" t="s">
        <v>371</v>
      </c>
      <c r="B85" s="13" t="s">
        <v>132</v>
      </c>
      <c r="C85" s="13" t="n">
        <v>3</v>
      </c>
      <c r="D85" s="7" t="s">
        <v>325</v>
      </c>
      <c r="E85" s="13" t="s">
        <v>259</v>
      </c>
      <c r="F85" s="13" t="s">
        <v>326</v>
      </c>
      <c r="G85" s="14" t="s">
        <v>162</v>
      </c>
      <c r="H85" s="14"/>
    </row>
    <row r="86" customFormat="false" ht="15" hidden="false" customHeight="false" outlineLevel="0" collapsed="false">
      <c r="A86" s="8" t="s">
        <v>372</v>
      </c>
      <c r="B86" s="8" t="s">
        <v>137</v>
      </c>
      <c r="C86" s="8" t="n">
        <v>1</v>
      </c>
      <c r="D86" s="7" t="s">
        <v>373</v>
      </c>
      <c r="E86" s="8" t="s">
        <v>225</v>
      </c>
      <c r="F86" s="8" t="s">
        <v>242</v>
      </c>
      <c r="G86" s="14" t="s">
        <v>162</v>
      </c>
      <c r="H86" s="14"/>
    </row>
    <row r="87" customFormat="false" ht="15" hidden="false" customHeight="false" outlineLevel="0" collapsed="false">
      <c r="A87" s="8" t="s">
        <v>374</v>
      </c>
      <c r="B87" s="8" t="s">
        <v>137</v>
      </c>
      <c r="C87" s="8" t="n">
        <v>2</v>
      </c>
      <c r="D87" s="7" t="s">
        <v>375</v>
      </c>
      <c r="E87" s="8" t="s">
        <v>225</v>
      </c>
      <c r="F87" s="8" t="s">
        <v>242</v>
      </c>
      <c r="G87" s="14" t="s">
        <v>162</v>
      </c>
      <c r="H87" s="14"/>
    </row>
    <row r="88" customFormat="false" ht="15" hidden="false" customHeight="false" outlineLevel="0" collapsed="false">
      <c r="A88" s="8" t="s">
        <v>376</v>
      </c>
      <c r="B88" s="8" t="s">
        <v>137</v>
      </c>
      <c r="C88" s="8" t="n">
        <v>3</v>
      </c>
      <c r="D88" s="7" t="s">
        <v>377</v>
      </c>
      <c r="E88" s="8" t="s">
        <v>235</v>
      </c>
      <c r="F88" s="8" t="s">
        <v>378</v>
      </c>
      <c r="G88" s="14" t="s">
        <v>162</v>
      </c>
      <c r="H88" s="14"/>
    </row>
    <row r="89" customFormat="false" ht="15" hidden="false" customHeight="false" outlineLevel="0" collapsed="false">
      <c r="A89" s="13" t="s">
        <v>379</v>
      </c>
      <c r="B89" s="13" t="s">
        <v>143</v>
      </c>
      <c r="C89" s="13" t="n">
        <v>1</v>
      </c>
      <c r="D89" s="7" t="s">
        <v>380</v>
      </c>
      <c r="E89" s="13" t="s">
        <v>225</v>
      </c>
      <c r="F89" s="13" t="s">
        <v>242</v>
      </c>
      <c r="G89" s="14" t="s">
        <v>162</v>
      </c>
      <c r="H89" s="14"/>
    </row>
    <row r="90" customFormat="false" ht="15" hidden="false" customHeight="false" outlineLevel="0" collapsed="false">
      <c r="A90" s="13" t="s">
        <v>381</v>
      </c>
      <c r="B90" s="13" t="s">
        <v>143</v>
      </c>
      <c r="C90" s="13" t="n">
        <v>2</v>
      </c>
      <c r="D90" s="7" t="s">
        <v>382</v>
      </c>
      <c r="E90" s="13" t="s">
        <v>225</v>
      </c>
      <c r="F90" s="13" t="s">
        <v>242</v>
      </c>
      <c r="G90" s="14" t="s">
        <v>162</v>
      </c>
      <c r="H90" s="14"/>
    </row>
  </sheetData>
  <autoFilter ref="A1:H90"/>
  <conditionalFormatting sqref="G2:G90">
    <cfRule type="cellIs" priority="2" operator="equal" aboveAverage="0" equalAverage="0" bottom="0" percent="0" rank="0" text="" dxfId="5">
      <formula>"Recorded"</formula>
    </cfRule>
    <cfRule type="cellIs" priority="3" operator="equal" aboveAverage="0" equalAverage="0" bottom="0" percent="0" rank="0" text="" dxfId="6">
      <formula>"Redo"</formula>
    </cfRule>
  </conditionalFormatting>
  <dataValidations count="1">
    <dataValidation allowBlank="false" errorStyle="stop" operator="between" showDropDown="false" showErrorMessage="false" showInputMessage="false" sqref="G2:G90" type="list">
      <formula1>"To do,Recorded,Redo"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6"/>
    <col collapsed="false" customWidth="true" hidden="false" outlineLevel="0" max="2" min="2" style="0" width="22"/>
    <col collapsed="false" customWidth="true" hidden="false" outlineLevel="0" max="3" min="3" style="0" width="13"/>
    <col collapsed="false" customWidth="true" hidden="false" outlineLevel="0" max="4" min="4" style="0" width="70"/>
    <col collapsed="false" customWidth="true" hidden="false" outlineLevel="0" max="5" min="5" style="0" width="12"/>
    <col collapsed="false" customWidth="true" hidden="false" outlineLevel="0" max="6" min="6" style="0" width="34"/>
  </cols>
  <sheetData>
    <row r="1" customFormat="false" ht="30" hidden="false" customHeight="true" outlineLevel="0" collapsed="false">
      <c r="A1" s="6" t="s">
        <v>151</v>
      </c>
      <c r="B1" s="6" t="s">
        <v>153</v>
      </c>
      <c r="C1" s="6" t="s">
        <v>154</v>
      </c>
      <c r="D1" s="6" t="s">
        <v>383</v>
      </c>
      <c r="E1" s="6" t="s">
        <v>156</v>
      </c>
      <c r="F1" s="6" t="s">
        <v>157</v>
      </c>
    </row>
    <row r="2" customFormat="false" ht="23.85" hidden="false" customHeight="false" outlineLevel="0" collapsed="false">
      <c r="A2" s="8" t="s">
        <v>384</v>
      </c>
      <c r="B2" s="7" t="s">
        <v>385</v>
      </c>
      <c r="C2" s="8" t="s">
        <v>386</v>
      </c>
      <c r="D2" s="8" t="s">
        <v>387</v>
      </c>
      <c r="E2" s="14" t="s">
        <v>162</v>
      </c>
      <c r="F2" s="14"/>
    </row>
    <row r="3" customFormat="false" ht="23.85" hidden="false" customHeight="false" outlineLevel="0" collapsed="false">
      <c r="A3" s="8" t="s">
        <v>388</v>
      </c>
      <c r="B3" s="7" t="s">
        <v>389</v>
      </c>
      <c r="C3" s="8" t="s">
        <v>386</v>
      </c>
      <c r="D3" s="8" t="s">
        <v>387</v>
      </c>
      <c r="E3" s="14" t="s">
        <v>162</v>
      </c>
      <c r="F3" s="14"/>
    </row>
    <row r="4" customFormat="false" ht="23.85" hidden="false" customHeight="false" outlineLevel="0" collapsed="false">
      <c r="A4" s="8" t="s">
        <v>390</v>
      </c>
      <c r="B4" s="7" t="s">
        <v>391</v>
      </c>
      <c r="C4" s="8" t="s">
        <v>386</v>
      </c>
      <c r="D4" s="8" t="s">
        <v>387</v>
      </c>
      <c r="E4" s="14" t="s">
        <v>162</v>
      </c>
      <c r="F4" s="14"/>
    </row>
    <row r="5" customFormat="false" ht="23.85" hidden="false" customHeight="false" outlineLevel="0" collapsed="false">
      <c r="A5" s="8" t="s">
        <v>392</v>
      </c>
      <c r="B5" s="7" t="s">
        <v>393</v>
      </c>
      <c r="C5" s="8" t="s">
        <v>386</v>
      </c>
      <c r="D5" s="8" t="s">
        <v>387</v>
      </c>
      <c r="E5" s="14" t="s">
        <v>162</v>
      </c>
      <c r="F5" s="14"/>
    </row>
    <row r="6" customFormat="false" ht="23.85" hidden="false" customHeight="false" outlineLevel="0" collapsed="false">
      <c r="A6" s="8" t="s">
        <v>394</v>
      </c>
      <c r="B6" s="7" t="s">
        <v>395</v>
      </c>
      <c r="C6" s="8" t="s">
        <v>386</v>
      </c>
      <c r="D6" s="8" t="s">
        <v>387</v>
      </c>
      <c r="E6" s="14" t="s">
        <v>162</v>
      </c>
      <c r="F6" s="14"/>
    </row>
    <row r="7" customFormat="false" ht="23.85" hidden="false" customHeight="false" outlineLevel="0" collapsed="false">
      <c r="A7" s="8" t="s">
        <v>396</v>
      </c>
      <c r="B7" s="7" t="s">
        <v>397</v>
      </c>
      <c r="C7" s="8" t="s">
        <v>386</v>
      </c>
      <c r="D7" s="8" t="s">
        <v>387</v>
      </c>
      <c r="E7" s="14" t="s">
        <v>162</v>
      </c>
      <c r="F7" s="14"/>
    </row>
    <row r="8" customFormat="false" ht="23.85" hidden="false" customHeight="false" outlineLevel="0" collapsed="false">
      <c r="A8" s="8" t="s">
        <v>398</v>
      </c>
      <c r="B8" s="7" t="s">
        <v>399</v>
      </c>
      <c r="C8" s="8" t="s">
        <v>386</v>
      </c>
      <c r="D8" s="8" t="s">
        <v>387</v>
      </c>
      <c r="E8" s="14" t="s">
        <v>162</v>
      </c>
      <c r="F8" s="14"/>
    </row>
    <row r="9" customFormat="false" ht="23.85" hidden="false" customHeight="false" outlineLevel="0" collapsed="false">
      <c r="A9" s="8" t="s">
        <v>400</v>
      </c>
      <c r="B9" s="7" t="s">
        <v>401</v>
      </c>
      <c r="C9" s="8" t="s">
        <v>386</v>
      </c>
      <c r="D9" s="8" t="s">
        <v>387</v>
      </c>
      <c r="E9" s="14" t="s">
        <v>162</v>
      </c>
      <c r="F9" s="14"/>
    </row>
    <row r="10" customFormat="false" ht="15" hidden="false" customHeight="false" outlineLevel="0" collapsed="false">
      <c r="A10" s="8" t="s">
        <v>402</v>
      </c>
      <c r="B10" s="7" t="s">
        <v>403</v>
      </c>
      <c r="C10" s="8" t="s">
        <v>209</v>
      </c>
      <c r="D10" s="8" t="s">
        <v>404</v>
      </c>
      <c r="E10" s="14" t="s">
        <v>162</v>
      </c>
      <c r="F10" s="14"/>
    </row>
    <row r="11" customFormat="false" ht="15" hidden="false" customHeight="false" outlineLevel="0" collapsed="false">
      <c r="A11" s="8" t="s">
        <v>405</v>
      </c>
      <c r="B11" s="7" t="s">
        <v>406</v>
      </c>
      <c r="C11" s="8" t="s">
        <v>209</v>
      </c>
      <c r="D11" s="8" t="s">
        <v>404</v>
      </c>
      <c r="E11" s="14" t="s">
        <v>162</v>
      </c>
      <c r="F11" s="14"/>
    </row>
    <row r="12" customFormat="false" ht="15" hidden="false" customHeight="false" outlineLevel="0" collapsed="false">
      <c r="A12" s="8" t="s">
        <v>407</v>
      </c>
      <c r="B12" s="7" t="s">
        <v>408</v>
      </c>
      <c r="C12" s="8" t="s">
        <v>209</v>
      </c>
      <c r="D12" s="8" t="s">
        <v>404</v>
      </c>
      <c r="E12" s="14" t="s">
        <v>162</v>
      </c>
      <c r="F12" s="14"/>
    </row>
    <row r="13" customFormat="false" ht="15" hidden="false" customHeight="false" outlineLevel="0" collapsed="false">
      <c r="A13" s="8" t="s">
        <v>409</v>
      </c>
      <c r="B13" s="7" t="s">
        <v>389</v>
      </c>
      <c r="C13" s="8" t="s">
        <v>209</v>
      </c>
      <c r="D13" s="8" t="s">
        <v>404</v>
      </c>
      <c r="E13" s="14" t="s">
        <v>162</v>
      </c>
      <c r="F13" s="14"/>
    </row>
  </sheetData>
  <conditionalFormatting sqref="E2:E13">
    <cfRule type="cellIs" priority="2" operator="equal" aboveAverage="0" equalAverage="0" bottom="0" percent="0" rank="0" text="" dxfId="5">
      <formula>"Recorded"</formula>
    </cfRule>
    <cfRule type="cellIs" priority="3" operator="equal" aboveAverage="0" equalAverage="0" bottom="0" percent="0" rank="0" text="" dxfId="6">
      <formula>"Redo"</formula>
    </cfRule>
  </conditionalFormatting>
  <dataValidations count="1">
    <dataValidation allowBlank="false" errorStyle="stop" operator="between" showDropDown="false" showErrorMessage="false" showInputMessage="false" sqref="E2:E13" type="list">
      <formula1>"To do,Recorded,Redo"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2026-10-15T14:29:44Z</dcterms:created>
  <dc:creator>openpyxl</dc:creator>
  <dc:description/>
  <dc:language>en-US</dc:language>
  <cp:lastModifiedBy/>
  <dcterms:modified xsi:type="dcterms:W3CDTF">2026-10-15T14:29:44Z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